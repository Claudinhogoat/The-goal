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📝 Study Log" sheetId="2" state="visible" r:id="rId2"/>
    <sheet name="📅 Weekly Planner" sheetId="3" state="visible" r:id="rId3"/>
    <sheet name="MAT Topics" sheetId="4" state="visible" r:id="rId4"/>
    <sheet name="ENG Topics" sheetId="5" state="visible" r:id="rId5"/>
    <sheet name="ENG Topics1" sheetId="6" state="visible" r:id="rId6"/>
    <sheet name="PHY Topics" sheetId="7" state="visible" r:id="rId7"/>
    <sheet name="BIO Topics" sheetId="8" state="visible" r:id="rId8"/>
    <sheet name="CHE Topics" sheetId="9" state="visible" r:id="rId9"/>
    <sheet name="RS Topics" sheetId="10" state="visible" r:id="rId10"/>
    <sheet name="HIS Topics" sheetId="11" state="visible" r:id="rId11"/>
    <sheet name="LAT Topics" sheetId="12" state="visible" r:id="rId12"/>
    <sheet name="FRE Topics" sheetId="13" state="visible" r:id="rId13"/>
    <sheet name="🚀 Countdow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FFFFFF"/>
      <sz val="18"/>
    </font>
    <font>
      <color rgb="00E8EAF6"/>
      <sz val="11"/>
    </font>
    <font>
      <b val="1"/>
      <color rgb="001A237E"/>
      <sz val="12"/>
    </font>
    <font>
      <b val="1"/>
      <color rgb="00FFFFFF"/>
      <sz val="11"/>
    </font>
    <font>
      <b val="1"/>
      <color rgb="001565C0"/>
      <sz val="11"/>
    </font>
    <font>
      <sz val="11"/>
    </font>
    <font>
      <b val="1"/>
      <color rgb="006A1B9A"/>
      <sz val="11"/>
    </font>
    <font>
      <b val="1"/>
      <color rgb="00AD1457"/>
      <sz val="11"/>
    </font>
    <font>
      <b val="1"/>
      <color rgb="0000695C"/>
      <sz val="11"/>
    </font>
    <font>
      <b val="1"/>
      <color rgb="002E7D32"/>
      <sz val="11"/>
    </font>
    <font>
      <b val="1"/>
      <color rgb="00E65100"/>
      <sz val="11"/>
    </font>
    <font>
      <b val="1"/>
      <color rgb="004527A0"/>
      <sz val="11"/>
    </font>
    <font>
      <b val="1"/>
      <color rgb="00BF360C"/>
      <sz val="11"/>
    </font>
    <font>
      <b val="1"/>
      <color rgb="0037474F"/>
      <sz val="11"/>
    </font>
    <font>
      <b val="1"/>
      <color rgb="00283593"/>
      <sz val="11"/>
    </font>
    <font>
      <b val="1"/>
      <color rgb="00000000"/>
      <sz val="11"/>
    </font>
    <font>
      <b val="1"/>
      <color rgb="00FFFFFF"/>
    </font>
    <font>
      <b val="1"/>
      <color rgb="00FFFFFF"/>
      <sz val="14"/>
    </font>
    <font>
      <b val="1"/>
      <color rgb="00FFFFFF"/>
      <sz val="12"/>
    </font>
    <font>
      <b val="1"/>
      <color rgb="004A148C"/>
      <sz val="10"/>
    </font>
    <font>
      <b val="1"/>
      <color rgb="00B71C1C"/>
      <sz val="12"/>
    </font>
    <font>
      <b val="1"/>
      <color rgb="00000000"/>
      <sz val="12"/>
    </font>
    <font>
      <sz val="12"/>
    </font>
    <font>
      <b val="1"/>
      <color rgb="00B71C1C"/>
      <sz val="13"/>
    </font>
    <font>
      <i val="1"/>
      <color rgb="004A148C"/>
      <sz val="11"/>
    </font>
    <font>
      <i val="1"/>
      <color rgb="00888888"/>
      <sz val="10"/>
    </font>
  </fonts>
  <fills count="3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283593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BE9E7"/>
      </patternFill>
    </fill>
    <fill>
      <patternFill patternType="solid">
        <fgColor rgb="00ECEFF1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CE93D8"/>
      </patternFill>
    </fill>
    <fill>
      <patternFill patternType="solid">
        <fgColor rgb="001565C0"/>
      </patternFill>
    </fill>
    <fill>
      <patternFill patternType="solid">
        <fgColor rgb="00FAFAFA"/>
      </patternFill>
    </fill>
    <fill>
      <patternFill patternType="solid">
        <fgColor rgb="00AD1457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4527A0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indent="1"/>
    </xf>
    <xf numFmtId="0" fontId="12" fillId="14" borderId="1" applyAlignment="1" pivotButton="0" quotePrefix="0" xfId="0">
      <alignment horizontal="left" vertical="center" indent="1"/>
    </xf>
    <xf numFmtId="0" fontId="13" fillId="15" borderId="1" applyAlignment="1" pivotButton="0" quotePrefix="0" xfId="0">
      <alignment horizontal="left" vertical="center" indent="1"/>
    </xf>
    <xf numFmtId="0" fontId="14" fillId="16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 vertical="center" wrapText="1"/>
    </xf>
    <xf numFmtId="0" fontId="19" fillId="21" borderId="0" applyAlignment="1" pivotButton="0" quotePrefix="0" xfId="0">
      <alignment horizontal="left" vertical="center" indent="1"/>
    </xf>
    <xf numFmtId="0" fontId="20" fillId="2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left" vertical="center" indent="1"/>
    </xf>
    <xf numFmtId="0" fontId="4" fillId="2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0" fillId="24" borderId="1" pivotButton="0" quotePrefix="0" xfId="0"/>
    <xf numFmtId="0" fontId="18" fillId="21" borderId="0" applyAlignment="1" pivotButton="0" quotePrefix="0" xfId="0">
      <alignment horizontal="left" vertical="center" indent="1"/>
    </xf>
    <xf numFmtId="0" fontId="4" fillId="2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18" fillId="25" borderId="0" applyAlignment="1" pivotButton="0" quotePrefix="0" xfId="0">
      <alignment horizontal="left" vertical="center" indent="1"/>
    </xf>
    <xf numFmtId="0" fontId="4" fillId="2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18" fillId="26" borderId="0" applyAlignment="1" pivotButton="0" quotePrefix="0" xfId="0">
      <alignment horizontal="left" vertical="center" indent="1"/>
    </xf>
    <xf numFmtId="0" fontId="4" fillId="26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0" fontId="18" fillId="18" borderId="0" applyAlignment="1" pivotButton="0" quotePrefix="0" xfId="0">
      <alignment horizontal="left" vertical="center" indent="1"/>
    </xf>
    <xf numFmtId="0" fontId="0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18" fillId="27" borderId="0" applyAlignment="1" pivotButton="0" quotePrefix="0" xfId="0">
      <alignment horizontal="left" vertical="center" indent="1"/>
    </xf>
    <xf numFmtId="0" fontId="4" fillId="2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  <xf numFmtId="0" fontId="18" fillId="28" borderId="0" applyAlignment="1" pivotButton="0" quotePrefix="0" xfId="0">
      <alignment horizontal="left" vertical="center" indent="1"/>
    </xf>
    <xf numFmtId="0" fontId="4" fillId="28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indent="1"/>
    </xf>
    <xf numFmtId="0" fontId="18" fillId="29" borderId="0" applyAlignment="1" pivotButton="0" quotePrefix="0" xfId="0">
      <alignment horizontal="left" vertical="center" indent="1"/>
    </xf>
    <xf numFmtId="0" fontId="4" fillId="29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indent="1"/>
    </xf>
    <xf numFmtId="0" fontId="18" fillId="30" borderId="0" applyAlignment="1" pivotButton="0" quotePrefix="0" xfId="0">
      <alignment horizontal="left" vertical="center" indent="1"/>
    </xf>
    <xf numFmtId="0" fontId="4" fillId="30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1" fillId="31" borderId="0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pivotButton="0" quotePrefix="0" xfId="0"/>
    <xf numFmtId="0" fontId="23" fillId="32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6" customWidth="1" min="4" max="4"/>
    <col width="13" customWidth="1" min="5" max="5"/>
    <col width="16" customWidth="1" min="6" max="6"/>
    <col width="18" customWidth="1" min="7" max="7"/>
    <col width="14" customWidth="1" min="8" max="8"/>
  </cols>
  <sheetData>
    <row r="1" ht="50" customHeight="1">
      <c r="A1" s="1" t="inlineStr">
        <is>
          <t>🎓  GCSE STUDY TRACKER  —  Target: 6 May 2026</t>
        </is>
      </c>
    </row>
    <row r="2">
      <c r="A2" s="2" t="inlineStr">
        <is>
          <t>Start: 29 Mar 2026  |  End: 6 May 2026  |  Total study days: 38</t>
        </is>
      </c>
    </row>
    <row r="4">
      <c r="A4" s="3" t="inlineStr">
        <is>
          <t>SUBJECT SUMMARY  (auto-totals from your Study Log)</t>
        </is>
      </c>
    </row>
    <row r="5">
      <c r="A5" s="4" t="inlineStr">
        <is>
          <t>Subject</t>
        </is>
      </c>
      <c r="B5" s="4" t="inlineStr">
        <is>
          <t>Total Hours</t>
        </is>
      </c>
      <c r="C5" s="4" t="inlineStr">
        <is>
          <t>Sessions</t>
        </is>
      </c>
      <c r="D5" s="4" t="inlineStr">
        <is>
          <t>Avg Confidence</t>
        </is>
      </c>
      <c r="E5" s="4" t="inlineStr">
        <is>
          <t>Last Studied</t>
        </is>
      </c>
      <c r="F5" s="4" t="inlineStr">
        <is>
          <t>Topics Covered</t>
        </is>
      </c>
      <c r="G5" s="4" t="inlineStr">
        <is>
          <t>% of 40 hrs target</t>
        </is>
      </c>
      <c r="H5" s="4" t="inlineStr">
        <is>
          <t>Status</t>
        </is>
      </c>
    </row>
    <row r="6">
      <c r="A6" s="5" t="inlineStr">
        <is>
          <t>Maths</t>
        </is>
      </c>
      <c r="B6" s="6">
        <f>IFERROR(SUMIF('📝 Study Log'!$C:$C,A6,'📝 Study Log'!$E:$E),0)</f>
        <v/>
      </c>
      <c r="C6" s="7">
        <f>IFERROR(COUNTIF('📝 Study Log'!$C:$C,A6),0)</f>
        <v/>
      </c>
      <c r="D6" s="6">
        <f>IFERROR(AVERAGEIF('📝 Study Log'!$C:$C,A6,'📝 Study Log'!$G:$G),"—")</f>
        <v/>
      </c>
      <c r="E6" s="7">
        <f>IFERROR(TEXT(MAXIFS('📝 Study Log'!$A:$A,'📝 Study Log'!$C:$C,A6),"dd mmm"),"—")</f>
        <v/>
      </c>
      <c r="F6" s="6">
        <f>IFERROR(COUNTIFS('📝 Study Log'!$C:$C,A6,'📝 Study Log'!$D:$D,"&lt;&gt;"),0)</f>
        <v/>
      </c>
      <c r="G6" s="7">
        <f>IFERROR(ROUND(B6/40*100,1)&amp;"%","0%")</f>
        <v/>
      </c>
      <c r="H6" s="6">
        <f>IF(B6&gt;=40,"✅ Done",IF(B6&gt;=20,"🔥 Good",IF(B6&gt;=10,"📖 Going","⚠️ Start!")))</f>
        <v/>
      </c>
    </row>
    <row r="7">
      <c r="A7" s="8" t="inlineStr">
        <is>
          <t>English Literature</t>
        </is>
      </c>
      <c r="B7" s="6">
        <f>IFERROR(SUMIF('📝 Study Log'!$C:$C,A7,'📝 Study Log'!$E:$E),0)</f>
        <v/>
      </c>
      <c r="C7" s="7">
        <f>IFERROR(COUNTIF('📝 Study Log'!$C:$C,A7),0)</f>
        <v/>
      </c>
      <c r="D7" s="6">
        <f>IFERROR(AVERAGEIF('📝 Study Log'!$C:$C,A7,'📝 Study Log'!$G:$G),"—")</f>
        <v/>
      </c>
      <c r="E7" s="7">
        <f>IFERROR(TEXT(MAXIFS('📝 Study Log'!$A:$A,'📝 Study Log'!$C:$C,A7),"dd mmm"),"—")</f>
        <v/>
      </c>
      <c r="F7" s="6">
        <f>IFERROR(COUNTIFS('📝 Study Log'!$C:$C,A7,'📝 Study Log'!$D:$D,"&lt;&gt;"),0)</f>
        <v/>
      </c>
      <c r="G7" s="7">
        <f>IFERROR(ROUND(B7/40*100,1)&amp;"%","0%")</f>
        <v/>
      </c>
      <c r="H7" s="6">
        <f>IF(B7&gt;=40,"✅ Done",IF(B7&gt;=20,"🔥 Good",IF(B7&gt;=10,"📖 Going","⚠️ Start!")))</f>
        <v/>
      </c>
    </row>
    <row r="8">
      <c r="A8" s="9" t="inlineStr">
        <is>
          <t>English Language</t>
        </is>
      </c>
      <c r="B8" s="6">
        <f>IFERROR(SUMIF('📝 Study Log'!$C:$C,A8,'📝 Study Log'!$E:$E),0)</f>
        <v/>
      </c>
      <c r="C8" s="7">
        <f>IFERROR(COUNTIF('📝 Study Log'!$C:$C,A8),0)</f>
        <v/>
      </c>
      <c r="D8" s="6">
        <f>IFERROR(AVERAGEIF('📝 Study Log'!$C:$C,A8,'📝 Study Log'!$G:$G),"—")</f>
        <v/>
      </c>
      <c r="E8" s="7">
        <f>IFERROR(TEXT(MAXIFS('📝 Study Log'!$A:$A,'📝 Study Log'!$C:$C,A8),"dd mmm"),"—")</f>
        <v/>
      </c>
      <c r="F8" s="6">
        <f>IFERROR(COUNTIFS('📝 Study Log'!$C:$C,A8,'📝 Study Log'!$D:$D,"&lt;&gt;"),0)</f>
        <v/>
      </c>
      <c r="G8" s="7">
        <f>IFERROR(ROUND(B8/40*100,1)&amp;"%","0%")</f>
        <v/>
      </c>
      <c r="H8" s="6">
        <f>IF(B8&gt;=40,"✅ Done",IF(B8&gt;=20,"🔥 Good",IF(B8&gt;=10,"📖 Going","⚠️ Start!")))</f>
        <v/>
      </c>
    </row>
    <row r="9">
      <c r="A9" s="10" t="inlineStr">
        <is>
          <t>Physics</t>
        </is>
      </c>
      <c r="B9" s="6">
        <f>IFERROR(SUMIF('📝 Study Log'!$C:$C,A9,'📝 Study Log'!$E:$E),0)</f>
        <v/>
      </c>
      <c r="C9" s="7">
        <f>IFERROR(COUNTIF('📝 Study Log'!$C:$C,A9),0)</f>
        <v/>
      </c>
      <c r="D9" s="6">
        <f>IFERROR(AVERAGEIF('📝 Study Log'!$C:$C,A9,'📝 Study Log'!$G:$G),"—")</f>
        <v/>
      </c>
      <c r="E9" s="7">
        <f>IFERROR(TEXT(MAXIFS('📝 Study Log'!$A:$A,'📝 Study Log'!$C:$C,A9),"dd mmm"),"—")</f>
        <v/>
      </c>
      <c r="F9" s="6">
        <f>IFERROR(COUNTIFS('📝 Study Log'!$C:$C,A9,'📝 Study Log'!$D:$D,"&lt;&gt;"),0)</f>
        <v/>
      </c>
      <c r="G9" s="7">
        <f>IFERROR(ROUND(B9/40*100,1)&amp;"%","0%")</f>
        <v/>
      </c>
      <c r="H9" s="6">
        <f>IF(B9&gt;=40,"✅ Done",IF(B9&gt;=20,"🔥 Good",IF(B9&gt;=10,"📖 Going","⚠️ Start!")))</f>
        <v/>
      </c>
    </row>
    <row r="10">
      <c r="A10" s="11" t="inlineStr">
        <is>
          <t>Biology</t>
        </is>
      </c>
      <c r="B10" s="6">
        <f>IFERROR(SUMIF('📝 Study Log'!$C:$C,A10,'📝 Study Log'!$E:$E),0)</f>
        <v/>
      </c>
      <c r="C10" s="7">
        <f>IFERROR(COUNTIF('📝 Study Log'!$C:$C,A10),0)</f>
        <v/>
      </c>
      <c r="D10" s="6">
        <f>IFERROR(AVERAGEIF('📝 Study Log'!$C:$C,A10,'📝 Study Log'!$G:$G),"—")</f>
        <v/>
      </c>
      <c r="E10" s="7">
        <f>IFERROR(TEXT(MAXIFS('📝 Study Log'!$A:$A,'📝 Study Log'!$C:$C,A10),"dd mmm"),"—")</f>
        <v/>
      </c>
      <c r="F10" s="6">
        <f>IFERROR(COUNTIFS('📝 Study Log'!$C:$C,A10,'📝 Study Log'!$D:$D,"&lt;&gt;"),0)</f>
        <v/>
      </c>
      <c r="G10" s="7">
        <f>IFERROR(ROUND(B10/40*100,1)&amp;"%","0%")</f>
        <v/>
      </c>
      <c r="H10" s="6">
        <f>IF(B10&gt;=40,"✅ Done",IF(B10&gt;=20,"🔥 Good",IF(B10&gt;=10,"📖 Going","⚠️ Start!")))</f>
        <v/>
      </c>
    </row>
    <row r="11">
      <c r="A11" s="12" t="inlineStr">
        <is>
          <t>Chemistry</t>
        </is>
      </c>
      <c r="B11" s="6">
        <f>IFERROR(SUMIF('📝 Study Log'!$C:$C,A11,'📝 Study Log'!$E:$E),0)</f>
        <v/>
      </c>
      <c r="C11" s="7">
        <f>IFERROR(COUNTIF('📝 Study Log'!$C:$C,A11),0)</f>
        <v/>
      </c>
      <c r="D11" s="6">
        <f>IFERROR(AVERAGEIF('📝 Study Log'!$C:$C,A11,'📝 Study Log'!$G:$G),"—")</f>
        <v/>
      </c>
      <c r="E11" s="7">
        <f>IFERROR(TEXT(MAXIFS('📝 Study Log'!$A:$A,'📝 Study Log'!$C:$C,A11),"dd mmm"),"—")</f>
        <v/>
      </c>
      <c r="F11" s="6">
        <f>IFERROR(COUNTIFS('📝 Study Log'!$C:$C,A11,'📝 Study Log'!$D:$D,"&lt;&gt;"),0)</f>
        <v/>
      </c>
      <c r="G11" s="7">
        <f>IFERROR(ROUND(B11/40*100,1)&amp;"%","0%")</f>
        <v/>
      </c>
      <c r="H11" s="6">
        <f>IF(B11&gt;=40,"✅ Done",IF(B11&gt;=20,"🔥 Good",IF(B11&gt;=10,"📖 Going","⚠️ Start!")))</f>
        <v/>
      </c>
    </row>
    <row r="12">
      <c r="A12" s="13" t="inlineStr">
        <is>
          <t>RS</t>
        </is>
      </c>
      <c r="B12" s="6">
        <f>IFERROR(SUMIF('📝 Study Log'!$C:$C,A12,'📝 Study Log'!$E:$E),0)</f>
        <v/>
      </c>
      <c r="C12" s="7">
        <f>IFERROR(COUNTIF('📝 Study Log'!$C:$C,A12),0)</f>
        <v/>
      </c>
      <c r="D12" s="6">
        <f>IFERROR(AVERAGEIF('📝 Study Log'!$C:$C,A12,'📝 Study Log'!$G:$G),"—")</f>
        <v/>
      </c>
      <c r="E12" s="7">
        <f>IFERROR(TEXT(MAXIFS('📝 Study Log'!$A:$A,'📝 Study Log'!$C:$C,A12),"dd mmm"),"—")</f>
        <v/>
      </c>
      <c r="F12" s="6">
        <f>IFERROR(COUNTIFS('📝 Study Log'!$C:$C,A12,'📝 Study Log'!$D:$D,"&lt;&gt;"),0)</f>
        <v/>
      </c>
      <c r="G12" s="7">
        <f>IFERROR(ROUND(B12/40*100,1)&amp;"%","0%")</f>
        <v/>
      </c>
      <c r="H12" s="6">
        <f>IF(B12&gt;=40,"✅ Done",IF(B12&gt;=20,"🔥 Good",IF(B12&gt;=10,"📖 Going","⚠️ Start!")))</f>
        <v/>
      </c>
    </row>
    <row r="13">
      <c r="A13" s="14" t="inlineStr">
        <is>
          <t>History</t>
        </is>
      </c>
      <c r="B13" s="6">
        <f>IFERROR(SUMIF('📝 Study Log'!$C:$C,A13,'📝 Study Log'!$E:$E),0)</f>
        <v/>
      </c>
      <c r="C13" s="7">
        <f>IFERROR(COUNTIF('📝 Study Log'!$C:$C,A13),0)</f>
        <v/>
      </c>
      <c r="D13" s="6">
        <f>IFERROR(AVERAGEIF('📝 Study Log'!$C:$C,A13,'📝 Study Log'!$G:$G),"—")</f>
        <v/>
      </c>
      <c r="E13" s="7">
        <f>IFERROR(TEXT(MAXIFS('📝 Study Log'!$A:$A,'📝 Study Log'!$C:$C,A13),"dd mmm"),"—")</f>
        <v/>
      </c>
      <c r="F13" s="6">
        <f>IFERROR(COUNTIFS('📝 Study Log'!$C:$C,A13,'📝 Study Log'!$D:$D,"&lt;&gt;"),0)</f>
        <v/>
      </c>
      <c r="G13" s="7">
        <f>IFERROR(ROUND(B13/40*100,1)&amp;"%","0%")</f>
        <v/>
      </c>
      <c r="H13" s="6">
        <f>IF(B13&gt;=40,"✅ Done",IF(B13&gt;=20,"🔥 Good",IF(B13&gt;=10,"📖 Going","⚠️ Start!")))</f>
        <v/>
      </c>
    </row>
    <row r="14">
      <c r="A14" s="15" t="inlineStr">
        <is>
          <t>Latin</t>
        </is>
      </c>
      <c r="B14" s="6">
        <f>IFERROR(SUMIF('📝 Study Log'!$C:$C,A14,'📝 Study Log'!$E:$E),0)</f>
        <v/>
      </c>
      <c r="C14" s="7">
        <f>IFERROR(COUNTIF('📝 Study Log'!$C:$C,A14),0)</f>
        <v/>
      </c>
      <c r="D14" s="6">
        <f>IFERROR(AVERAGEIF('📝 Study Log'!$C:$C,A14,'📝 Study Log'!$G:$G),"—")</f>
        <v/>
      </c>
      <c r="E14" s="7">
        <f>IFERROR(TEXT(MAXIFS('📝 Study Log'!$A:$A,'📝 Study Log'!$C:$C,A14),"dd mmm"),"—")</f>
        <v/>
      </c>
      <c r="F14" s="6">
        <f>IFERROR(COUNTIFS('📝 Study Log'!$C:$C,A14,'📝 Study Log'!$D:$D,"&lt;&gt;"),0)</f>
        <v/>
      </c>
      <c r="G14" s="7">
        <f>IFERROR(ROUND(B14/40*100,1)&amp;"%","0%")</f>
        <v/>
      </c>
      <c r="H14" s="6">
        <f>IF(B14&gt;=40,"✅ Done",IF(B14&gt;=20,"🔥 Good",IF(B14&gt;=10,"📖 Going","⚠️ Start!")))</f>
        <v/>
      </c>
    </row>
    <row r="15">
      <c r="A15" s="16" t="inlineStr">
        <is>
          <t>French</t>
        </is>
      </c>
      <c r="B15" s="6">
        <f>IFERROR(SUMIF('📝 Study Log'!$C:$C,A15,'📝 Study Log'!$E:$E),0)</f>
        <v/>
      </c>
      <c r="C15" s="7">
        <f>IFERROR(COUNTIF('📝 Study Log'!$C:$C,A15),0)</f>
        <v/>
      </c>
      <c r="D15" s="6">
        <f>IFERROR(AVERAGEIF('📝 Study Log'!$C:$C,A15,'📝 Study Log'!$G:$G),"—")</f>
        <v/>
      </c>
      <c r="E15" s="7">
        <f>IFERROR(TEXT(MAXIFS('📝 Study Log'!$A:$A,'📝 Study Log'!$C:$C,A15),"dd mmm"),"—")</f>
        <v/>
      </c>
      <c r="F15" s="6">
        <f>IFERROR(COUNTIFS('📝 Study Log'!$C:$C,A15,'📝 Study Log'!$D:$D,"&lt;&gt;"),0)</f>
        <v/>
      </c>
      <c r="G15" s="7">
        <f>IFERROR(ROUND(B15/40*100,1)&amp;"%","0%")</f>
        <v/>
      </c>
      <c r="H15" s="6">
        <f>IF(B15&gt;=40,"✅ Done",IF(B15&gt;=20,"🔥 Good",IF(B15&gt;=10,"📖 Going","⚠️ Start!")))</f>
        <v/>
      </c>
    </row>
    <row r="16">
      <c r="A16" s="17" t="inlineStr">
        <is>
          <t>TOTAL</t>
        </is>
      </c>
      <c r="B16" s="18">
        <f>SUM(B6:B15)</f>
        <v/>
      </c>
      <c r="C16" s="18">
        <f>SUM(C6:C15)</f>
        <v/>
      </c>
      <c r="D16" s="18" t="inlineStr"/>
      <c r="E16" s="18" t="inlineStr"/>
      <c r="F16" s="18" t="inlineStr"/>
      <c r="G16" s="18" t="inlineStr"/>
      <c r="H16" s="18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G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0" customWidth="1" min="4" max="4"/>
    <col width="13" customWidth="1" min="5" max="5"/>
    <col width="35" customWidth="1" min="6" max="6"/>
    <col width="16" customWidth="1" min="7" max="7"/>
  </cols>
  <sheetData>
    <row r="1" ht="36" customHeight="1">
      <c r="A1" s="19" t="inlineStr">
        <is>
          <t>📝  DAILY STUDY LOG  —  fill in a row every time you study</t>
        </is>
      </c>
    </row>
    <row r="2" ht="30" customHeight="1">
      <c r="A2" s="20" t="inlineStr">
        <is>
          <t>Date</t>
        </is>
      </c>
      <c r="B2" s="20" t="inlineStr">
        <is>
          <t>Day</t>
        </is>
      </c>
      <c r="C2" s="20" t="inlineStr">
        <is>
          <t>Subject</t>
        </is>
      </c>
      <c r="D2" s="20" t="inlineStr">
        <is>
          <t>Topic / What you covered</t>
        </is>
      </c>
      <c r="E2" s="20" t="inlineStr">
        <is>
          <t>Hours spent</t>
        </is>
      </c>
      <c r="F2" s="20" t="inlineStr">
        <is>
          <t>Notes / Questions</t>
        </is>
      </c>
      <c r="G2" s="20" t="inlineStr">
        <is>
          <t>Confidence (1–5)</t>
        </is>
      </c>
    </row>
    <row r="3">
      <c r="A3" s="21" t="inlineStr"/>
      <c r="B3" s="21" t="inlineStr"/>
      <c r="C3" s="21" t="inlineStr"/>
      <c r="D3" s="22" t="inlineStr"/>
      <c r="E3" s="21" t="inlineStr"/>
      <c r="F3" s="22" t="inlineStr"/>
      <c r="G3" s="21" t="inlineStr"/>
    </row>
    <row r="4">
      <c r="A4" s="23" t="inlineStr"/>
      <c r="B4" s="23" t="inlineStr"/>
      <c r="C4" s="23" t="inlineStr"/>
      <c r="D4" s="24" t="inlineStr"/>
      <c r="E4" s="23" t="inlineStr"/>
      <c r="F4" s="24" t="inlineStr"/>
      <c r="G4" s="23" t="inlineStr"/>
    </row>
    <row r="5">
      <c r="A5" s="21" t="inlineStr"/>
      <c r="B5" s="21" t="inlineStr"/>
      <c r="C5" s="21" t="inlineStr"/>
      <c r="D5" s="22" t="inlineStr"/>
      <c r="E5" s="21" t="inlineStr"/>
      <c r="F5" s="22" t="inlineStr"/>
      <c r="G5" s="21" t="inlineStr"/>
    </row>
    <row r="6">
      <c r="A6" s="23" t="inlineStr"/>
      <c r="B6" s="23" t="inlineStr"/>
      <c r="C6" s="23" t="inlineStr"/>
      <c r="D6" s="24" t="inlineStr"/>
      <c r="E6" s="23" t="inlineStr"/>
      <c r="F6" s="24" t="inlineStr"/>
      <c r="G6" s="23" t="inlineStr"/>
    </row>
    <row r="7">
      <c r="A7" s="21" t="inlineStr"/>
      <c r="B7" s="21" t="inlineStr"/>
      <c r="C7" s="21" t="inlineStr"/>
      <c r="D7" s="22" t="inlineStr"/>
      <c r="E7" s="21" t="inlineStr"/>
      <c r="F7" s="22" t="inlineStr"/>
      <c r="G7" s="21" t="inlineStr"/>
    </row>
    <row r="8">
      <c r="A8" s="23" t="inlineStr"/>
      <c r="B8" s="23" t="inlineStr"/>
      <c r="C8" s="23" t="inlineStr"/>
      <c r="D8" s="24" t="inlineStr"/>
      <c r="E8" s="23" t="inlineStr"/>
      <c r="F8" s="24" t="inlineStr"/>
      <c r="G8" s="23" t="inlineStr"/>
    </row>
    <row r="9">
      <c r="A9" s="21" t="inlineStr"/>
      <c r="B9" s="21" t="inlineStr"/>
      <c r="C9" s="21" t="inlineStr"/>
      <c r="D9" s="22" t="inlineStr"/>
      <c r="E9" s="21" t="inlineStr"/>
      <c r="F9" s="22" t="inlineStr"/>
      <c r="G9" s="21" t="inlineStr"/>
    </row>
    <row r="10">
      <c r="A10" s="23" t="inlineStr"/>
      <c r="B10" s="23" t="inlineStr"/>
      <c r="C10" s="23" t="inlineStr"/>
      <c r="D10" s="24" t="inlineStr"/>
      <c r="E10" s="23" t="inlineStr"/>
      <c r="F10" s="24" t="inlineStr"/>
      <c r="G10" s="23" t="inlineStr"/>
    </row>
    <row r="11">
      <c r="A11" s="21" t="inlineStr"/>
      <c r="B11" s="21" t="inlineStr"/>
      <c r="C11" s="21" t="inlineStr"/>
      <c r="D11" s="22" t="inlineStr"/>
      <c r="E11" s="21" t="inlineStr"/>
      <c r="F11" s="22" t="inlineStr"/>
      <c r="G11" s="21" t="inlineStr"/>
    </row>
    <row r="12">
      <c r="A12" s="23" t="inlineStr"/>
      <c r="B12" s="23" t="inlineStr"/>
      <c r="C12" s="23" t="inlineStr"/>
      <c r="D12" s="24" t="inlineStr"/>
      <c r="E12" s="23" t="inlineStr"/>
      <c r="F12" s="24" t="inlineStr"/>
      <c r="G12" s="23" t="inlineStr"/>
    </row>
    <row r="13">
      <c r="A13" s="21" t="inlineStr"/>
      <c r="B13" s="21" t="inlineStr"/>
      <c r="C13" s="21" t="inlineStr"/>
      <c r="D13" s="22" t="inlineStr"/>
      <c r="E13" s="21" t="inlineStr"/>
      <c r="F13" s="22" t="inlineStr"/>
      <c r="G13" s="21" t="inlineStr"/>
    </row>
    <row r="14">
      <c r="A14" s="23" t="inlineStr"/>
      <c r="B14" s="23" t="inlineStr"/>
      <c r="C14" s="23" t="inlineStr"/>
      <c r="D14" s="24" t="inlineStr"/>
      <c r="E14" s="23" t="inlineStr"/>
      <c r="F14" s="24" t="inlineStr"/>
      <c r="G14" s="23" t="inlineStr"/>
    </row>
    <row r="15">
      <c r="A15" s="21" t="inlineStr"/>
      <c r="B15" s="21" t="inlineStr"/>
      <c r="C15" s="21" t="inlineStr"/>
      <c r="D15" s="22" t="inlineStr"/>
      <c r="E15" s="21" t="inlineStr"/>
      <c r="F15" s="22" t="inlineStr"/>
      <c r="G15" s="21" t="inlineStr"/>
    </row>
    <row r="16">
      <c r="A16" s="23" t="inlineStr"/>
      <c r="B16" s="23" t="inlineStr"/>
      <c r="C16" s="23" t="inlineStr"/>
      <c r="D16" s="24" t="inlineStr"/>
      <c r="E16" s="23" t="inlineStr"/>
      <c r="F16" s="24" t="inlineStr"/>
      <c r="G16" s="23" t="inlineStr"/>
    </row>
    <row r="17">
      <c r="A17" s="21" t="inlineStr"/>
      <c r="B17" s="21" t="inlineStr"/>
      <c r="C17" s="21" t="inlineStr"/>
      <c r="D17" s="22" t="inlineStr"/>
      <c r="E17" s="21" t="inlineStr"/>
      <c r="F17" s="22" t="inlineStr"/>
      <c r="G17" s="21" t="inlineStr"/>
    </row>
    <row r="18">
      <c r="A18" s="23" t="inlineStr"/>
      <c r="B18" s="23" t="inlineStr"/>
      <c r="C18" s="23" t="inlineStr"/>
      <c r="D18" s="24" t="inlineStr"/>
      <c r="E18" s="23" t="inlineStr"/>
      <c r="F18" s="24" t="inlineStr"/>
      <c r="G18" s="23" t="inlineStr"/>
    </row>
    <row r="19">
      <c r="A19" s="21" t="inlineStr"/>
      <c r="B19" s="21" t="inlineStr"/>
      <c r="C19" s="21" t="inlineStr"/>
      <c r="D19" s="22" t="inlineStr"/>
      <c r="E19" s="21" t="inlineStr"/>
      <c r="F19" s="22" t="inlineStr"/>
      <c r="G19" s="21" t="inlineStr"/>
    </row>
    <row r="20">
      <c r="A20" s="23" t="inlineStr"/>
      <c r="B20" s="23" t="inlineStr"/>
      <c r="C20" s="23" t="inlineStr"/>
      <c r="D20" s="24" t="inlineStr"/>
      <c r="E20" s="23" t="inlineStr"/>
      <c r="F20" s="24" t="inlineStr"/>
      <c r="G20" s="23" t="inlineStr"/>
    </row>
    <row r="21">
      <c r="A21" s="21" t="inlineStr"/>
      <c r="B21" s="21" t="inlineStr"/>
      <c r="C21" s="21" t="inlineStr"/>
      <c r="D21" s="22" t="inlineStr"/>
      <c r="E21" s="21" t="inlineStr"/>
      <c r="F21" s="22" t="inlineStr"/>
      <c r="G21" s="21" t="inlineStr"/>
    </row>
    <row r="22">
      <c r="A22" s="23" t="inlineStr"/>
      <c r="B22" s="23" t="inlineStr"/>
      <c r="C22" s="23" t="inlineStr"/>
      <c r="D22" s="24" t="inlineStr"/>
      <c r="E22" s="23" t="inlineStr"/>
      <c r="F22" s="24" t="inlineStr"/>
      <c r="G22" s="23" t="inlineStr"/>
    </row>
    <row r="23">
      <c r="A23" s="21" t="inlineStr"/>
      <c r="B23" s="21" t="inlineStr"/>
      <c r="C23" s="21" t="inlineStr"/>
      <c r="D23" s="22" t="inlineStr"/>
      <c r="E23" s="21" t="inlineStr"/>
      <c r="F23" s="22" t="inlineStr"/>
      <c r="G23" s="21" t="inlineStr"/>
    </row>
    <row r="24">
      <c r="A24" s="23" t="inlineStr"/>
      <c r="B24" s="23" t="inlineStr"/>
      <c r="C24" s="23" t="inlineStr"/>
      <c r="D24" s="24" t="inlineStr"/>
      <c r="E24" s="23" t="inlineStr"/>
      <c r="F24" s="24" t="inlineStr"/>
      <c r="G24" s="23" t="inlineStr"/>
    </row>
    <row r="25">
      <c r="A25" s="21" t="inlineStr"/>
      <c r="B25" s="21" t="inlineStr"/>
      <c r="C25" s="21" t="inlineStr"/>
      <c r="D25" s="22" t="inlineStr"/>
      <c r="E25" s="21" t="inlineStr"/>
      <c r="F25" s="22" t="inlineStr"/>
      <c r="G25" s="21" t="inlineStr"/>
    </row>
    <row r="26">
      <c r="A26" s="23" t="inlineStr"/>
      <c r="B26" s="23" t="inlineStr"/>
      <c r="C26" s="23" t="inlineStr"/>
      <c r="D26" s="24" t="inlineStr"/>
      <c r="E26" s="23" t="inlineStr"/>
      <c r="F26" s="24" t="inlineStr"/>
      <c r="G26" s="23" t="inlineStr"/>
    </row>
    <row r="27">
      <c r="A27" s="21" t="inlineStr"/>
      <c r="B27" s="21" t="inlineStr"/>
      <c r="C27" s="21" t="inlineStr"/>
      <c r="D27" s="22" t="inlineStr"/>
      <c r="E27" s="21" t="inlineStr"/>
      <c r="F27" s="22" t="inlineStr"/>
      <c r="G27" s="21" t="inlineStr"/>
    </row>
    <row r="28">
      <c r="A28" s="23" t="inlineStr"/>
      <c r="B28" s="23" t="inlineStr"/>
      <c r="C28" s="23" t="inlineStr"/>
      <c r="D28" s="24" t="inlineStr"/>
      <c r="E28" s="23" t="inlineStr"/>
      <c r="F28" s="24" t="inlineStr"/>
      <c r="G28" s="23" t="inlineStr"/>
    </row>
    <row r="29">
      <c r="A29" s="21" t="inlineStr"/>
      <c r="B29" s="21" t="inlineStr"/>
      <c r="C29" s="21" t="inlineStr"/>
      <c r="D29" s="22" t="inlineStr"/>
      <c r="E29" s="21" t="inlineStr"/>
      <c r="F29" s="22" t="inlineStr"/>
      <c r="G29" s="21" t="inlineStr"/>
    </row>
    <row r="30">
      <c r="A30" s="23" t="inlineStr"/>
      <c r="B30" s="23" t="inlineStr"/>
      <c r="C30" s="23" t="inlineStr"/>
      <c r="D30" s="24" t="inlineStr"/>
      <c r="E30" s="23" t="inlineStr"/>
      <c r="F30" s="24" t="inlineStr"/>
      <c r="G30" s="23" t="inlineStr"/>
    </row>
    <row r="31">
      <c r="A31" s="21" t="inlineStr"/>
      <c r="B31" s="21" t="inlineStr"/>
      <c r="C31" s="21" t="inlineStr"/>
      <c r="D31" s="22" t="inlineStr"/>
      <c r="E31" s="21" t="inlineStr"/>
      <c r="F31" s="22" t="inlineStr"/>
      <c r="G31" s="21" t="inlineStr"/>
    </row>
    <row r="32">
      <c r="A32" s="23" t="inlineStr"/>
      <c r="B32" s="23" t="inlineStr"/>
      <c r="C32" s="23" t="inlineStr"/>
      <c r="D32" s="24" t="inlineStr"/>
      <c r="E32" s="23" t="inlineStr"/>
      <c r="F32" s="24" t="inlineStr"/>
      <c r="G32" s="23" t="inlineStr"/>
    </row>
    <row r="33">
      <c r="A33" s="21" t="inlineStr"/>
      <c r="B33" s="21" t="inlineStr"/>
      <c r="C33" s="21" t="inlineStr"/>
      <c r="D33" s="22" t="inlineStr"/>
      <c r="E33" s="21" t="inlineStr"/>
      <c r="F33" s="22" t="inlineStr"/>
      <c r="G33" s="21" t="inlineStr"/>
    </row>
    <row r="34">
      <c r="A34" s="23" t="inlineStr"/>
      <c r="B34" s="23" t="inlineStr"/>
      <c r="C34" s="23" t="inlineStr"/>
      <c r="D34" s="24" t="inlineStr"/>
      <c r="E34" s="23" t="inlineStr"/>
      <c r="F34" s="24" t="inlineStr"/>
      <c r="G34" s="23" t="inlineStr"/>
    </row>
    <row r="35">
      <c r="A35" s="21" t="inlineStr"/>
      <c r="B35" s="21" t="inlineStr"/>
      <c r="C35" s="21" t="inlineStr"/>
      <c r="D35" s="22" t="inlineStr"/>
      <c r="E35" s="21" t="inlineStr"/>
      <c r="F35" s="22" t="inlineStr"/>
      <c r="G35" s="21" t="inlineStr"/>
    </row>
    <row r="36">
      <c r="A36" s="23" t="inlineStr"/>
      <c r="B36" s="23" t="inlineStr"/>
      <c r="C36" s="23" t="inlineStr"/>
      <c r="D36" s="24" t="inlineStr"/>
      <c r="E36" s="23" t="inlineStr"/>
      <c r="F36" s="24" t="inlineStr"/>
      <c r="G36" s="23" t="inlineStr"/>
    </row>
    <row r="37">
      <c r="A37" s="21" t="inlineStr"/>
      <c r="B37" s="21" t="inlineStr"/>
      <c r="C37" s="21" t="inlineStr"/>
      <c r="D37" s="22" t="inlineStr"/>
      <c r="E37" s="21" t="inlineStr"/>
      <c r="F37" s="22" t="inlineStr"/>
      <c r="G37" s="21" t="inlineStr"/>
    </row>
    <row r="38">
      <c r="A38" s="23" t="inlineStr"/>
      <c r="B38" s="23" t="inlineStr"/>
      <c r="C38" s="23" t="inlineStr"/>
      <c r="D38" s="24" t="inlineStr"/>
      <c r="E38" s="23" t="inlineStr"/>
      <c r="F38" s="24" t="inlineStr"/>
      <c r="G38" s="23" t="inlineStr"/>
    </row>
    <row r="39">
      <c r="A39" s="21" t="inlineStr"/>
      <c r="B39" s="21" t="inlineStr"/>
      <c r="C39" s="21" t="inlineStr"/>
      <c r="D39" s="22" t="inlineStr"/>
      <c r="E39" s="21" t="inlineStr"/>
      <c r="F39" s="22" t="inlineStr"/>
      <c r="G39" s="21" t="inlineStr"/>
    </row>
    <row r="40">
      <c r="A40" s="23" t="inlineStr"/>
      <c r="B40" s="23" t="inlineStr"/>
      <c r="C40" s="23" t="inlineStr"/>
      <c r="D40" s="24" t="inlineStr"/>
      <c r="E40" s="23" t="inlineStr"/>
      <c r="F40" s="24" t="inlineStr"/>
      <c r="G40" s="23" t="inlineStr"/>
    </row>
    <row r="41">
      <c r="A41" s="21" t="inlineStr"/>
      <c r="B41" s="21" t="inlineStr"/>
      <c r="C41" s="21" t="inlineStr"/>
      <c r="D41" s="22" t="inlineStr"/>
      <c r="E41" s="21" t="inlineStr"/>
      <c r="F41" s="22" t="inlineStr"/>
      <c r="G41" s="21" t="inlineStr"/>
    </row>
    <row r="42">
      <c r="A42" s="23" t="inlineStr"/>
      <c r="B42" s="23" t="inlineStr"/>
      <c r="C42" s="23" t="inlineStr"/>
      <c r="D42" s="24" t="inlineStr"/>
      <c r="E42" s="23" t="inlineStr"/>
      <c r="F42" s="24" t="inlineStr"/>
      <c r="G42" s="23" t="inlineStr"/>
    </row>
    <row r="43">
      <c r="A43" s="21" t="inlineStr"/>
      <c r="B43" s="21" t="inlineStr"/>
      <c r="C43" s="21" t="inlineStr"/>
      <c r="D43" s="22" t="inlineStr"/>
      <c r="E43" s="21" t="inlineStr"/>
      <c r="F43" s="22" t="inlineStr"/>
      <c r="G43" s="21" t="inlineStr"/>
    </row>
    <row r="44">
      <c r="A44" s="23" t="inlineStr"/>
      <c r="B44" s="23" t="inlineStr"/>
      <c r="C44" s="23" t="inlineStr"/>
      <c r="D44" s="24" t="inlineStr"/>
      <c r="E44" s="23" t="inlineStr"/>
      <c r="F44" s="24" t="inlineStr"/>
      <c r="G44" s="23" t="inlineStr"/>
    </row>
    <row r="45">
      <c r="A45" s="21" t="inlineStr"/>
      <c r="B45" s="21" t="inlineStr"/>
      <c r="C45" s="21" t="inlineStr"/>
      <c r="D45" s="22" t="inlineStr"/>
      <c r="E45" s="21" t="inlineStr"/>
      <c r="F45" s="22" t="inlineStr"/>
      <c r="G45" s="21" t="inlineStr"/>
    </row>
    <row r="46">
      <c r="A46" s="23" t="inlineStr"/>
      <c r="B46" s="23" t="inlineStr"/>
      <c r="C46" s="23" t="inlineStr"/>
      <c r="D46" s="24" t="inlineStr"/>
      <c r="E46" s="23" t="inlineStr"/>
      <c r="F46" s="24" t="inlineStr"/>
      <c r="G46" s="23" t="inlineStr"/>
    </row>
    <row r="47">
      <c r="A47" s="21" t="inlineStr"/>
      <c r="B47" s="21" t="inlineStr"/>
      <c r="C47" s="21" t="inlineStr"/>
      <c r="D47" s="22" t="inlineStr"/>
      <c r="E47" s="21" t="inlineStr"/>
      <c r="F47" s="22" t="inlineStr"/>
      <c r="G47" s="21" t="inlineStr"/>
    </row>
    <row r="48">
      <c r="A48" s="23" t="inlineStr"/>
      <c r="B48" s="23" t="inlineStr"/>
      <c r="C48" s="23" t="inlineStr"/>
      <c r="D48" s="24" t="inlineStr"/>
      <c r="E48" s="23" t="inlineStr"/>
      <c r="F48" s="24" t="inlineStr"/>
      <c r="G48" s="23" t="inlineStr"/>
    </row>
    <row r="49">
      <c r="A49" s="21" t="inlineStr"/>
      <c r="B49" s="21" t="inlineStr"/>
      <c r="C49" s="21" t="inlineStr"/>
      <c r="D49" s="22" t="inlineStr"/>
      <c r="E49" s="21" t="inlineStr"/>
      <c r="F49" s="22" t="inlineStr"/>
      <c r="G49" s="21" t="inlineStr"/>
    </row>
    <row r="50">
      <c r="A50" s="23" t="inlineStr"/>
      <c r="B50" s="23" t="inlineStr"/>
      <c r="C50" s="23" t="inlineStr"/>
      <c r="D50" s="24" t="inlineStr"/>
      <c r="E50" s="23" t="inlineStr"/>
      <c r="F50" s="24" t="inlineStr"/>
      <c r="G50" s="23" t="inlineStr"/>
    </row>
    <row r="51">
      <c r="A51" s="21" t="inlineStr"/>
      <c r="B51" s="21" t="inlineStr"/>
      <c r="C51" s="21" t="inlineStr"/>
      <c r="D51" s="22" t="inlineStr"/>
      <c r="E51" s="21" t="inlineStr"/>
      <c r="F51" s="22" t="inlineStr"/>
      <c r="G51" s="21" t="inlineStr"/>
    </row>
    <row r="52">
      <c r="A52" s="23" t="inlineStr"/>
      <c r="B52" s="23" t="inlineStr"/>
      <c r="C52" s="23" t="inlineStr"/>
      <c r="D52" s="24" t="inlineStr"/>
      <c r="E52" s="23" t="inlineStr"/>
      <c r="F52" s="24" t="inlineStr"/>
      <c r="G52" s="23" t="inlineStr"/>
    </row>
    <row r="53">
      <c r="A53" s="21" t="inlineStr"/>
      <c r="B53" s="21" t="inlineStr"/>
      <c r="C53" s="21" t="inlineStr"/>
      <c r="D53" s="22" t="inlineStr"/>
      <c r="E53" s="21" t="inlineStr"/>
      <c r="F53" s="22" t="inlineStr"/>
      <c r="G53" s="21" t="inlineStr"/>
    </row>
    <row r="54">
      <c r="A54" s="23" t="inlineStr"/>
      <c r="B54" s="23" t="inlineStr"/>
      <c r="C54" s="23" t="inlineStr"/>
      <c r="D54" s="24" t="inlineStr"/>
      <c r="E54" s="23" t="inlineStr"/>
      <c r="F54" s="24" t="inlineStr"/>
      <c r="G54" s="23" t="inlineStr"/>
    </row>
    <row r="55">
      <c r="A55" s="21" t="inlineStr"/>
      <c r="B55" s="21" t="inlineStr"/>
      <c r="C55" s="21" t="inlineStr"/>
      <c r="D55" s="22" t="inlineStr"/>
      <c r="E55" s="21" t="inlineStr"/>
      <c r="F55" s="22" t="inlineStr"/>
      <c r="G55" s="21" t="inlineStr"/>
    </row>
    <row r="56">
      <c r="A56" s="23" t="inlineStr"/>
      <c r="B56" s="23" t="inlineStr"/>
      <c r="C56" s="23" t="inlineStr"/>
      <c r="D56" s="24" t="inlineStr"/>
      <c r="E56" s="23" t="inlineStr"/>
      <c r="F56" s="24" t="inlineStr"/>
      <c r="G56" s="23" t="inlineStr"/>
    </row>
    <row r="57">
      <c r="A57" s="21" t="inlineStr"/>
      <c r="B57" s="21" t="inlineStr"/>
      <c r="C57" s="21" t="inlineStr"/>
      <c r="D57" s="22" t="inlineStr"/>
      <c r="E57" s="21" t="inlineStr"/>
      <c r="F57" s="22" t="inlineStr"/>
      <c r="G57" s="21" t="inlineStr"/>
    </row>
    <row r="58">
      <c r="A58" s="23" t="inlineStr"/>
      <c r="B58" s="23" t="inlineStr"/>
      <c r="C58" s="23" t="inlineStr"/>
      <c r="D58" s="24" t="inlineStr"/>
      <c r="E58" s="23" t="inlineStr"/>
      <c r="F58" s="24" t="inlineStr"/>
      <c r="G58" s="23" t="inlineStr"/>
    </row>
    <row r="59">
      <c r="A59" s="21" t="inlineStr"/>
      <c r="B59" s="21" t="inlineStr"/>
      <c r="C59" s="21" t="inlineStr"/>
      <c r="D59" s="22" t="inlineStr"/>
      <c r="E59" s="21" t="inlineStr"/>
      <c r="F59" s="22" t="inlineStr"/>
      <c r="G59" s="21" t="inlineStr"/>
    </row>
    <row r="60">
      <c r="A60" s="23" t="inlineStr"/>
      <c r="B60" s="23" t="inlineStr"/>
      <c r="C60" s="23" t="inlineStr"/>
      <c r="D60" s="24" t="inlineStr"/>
      <c r="E60" s="23" t="inlineStr"/>
      <c r="F60" s="24" t="inlineStr"/>
      <c r="G60" s="23" t="inlineStr"/>
    </row>
    <row r="61">
      <c r="A61" s="21" t="inlineStr"/>
      <c r="B61" s="21" t="inlineStr"/>
      <c r="C61" s="21" t="inlineStr"/>
      <c r="D61" s="22" t="inlineStr"/>
      <c r="E61" s="21" t="inlineStr"/>
      <c r="F61" s="22" t="inlineStr"/>
      <c r="G61" s="21" t="inlineStr"/>
    </row>
    <row r="62">
      <c r="A62" s="23" t="inlineStr"/>
      <c r="B62" s="23" t="inlineStr"/>
      <c r="C62" s="23" t="inlineStr"/>
      <c r="D62" s="24" t="inlineStr"/>
      <c r="E62" s="23" t="inlineStr"/>
      <c r="F62" s="24" t="inlineStr"/>
      <c r="G62" s="23" t="inlineStr"/>
    </row>
  </sheetData>
  <mergeCells count="1">
    <mergeCell ref="A1:G1"/>
  </mergeCells>
  <dataValidations count="2">
    <dataValidation sqref="C3:C200" showDropDown="0" showInputMessage="0" showErrorMessage="0" allowBlank="1" type="list">
      <formula1>"Maths,English Literature,English Language,Physics,Biology,Chemistry,RS,History,Latin,French"</formula1>
    </dataValidation>
    <dataValidation sqref="G3:G2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25" t="inlineStr">
        <is>
          <t>📅  WEEKLY PLANNER  —  Plan ahead, tick off as you go</t>
        </is>
      </c>
    </row>
    <row r="3" ht="24" customHeight="1">
      <c r="A3" s="26" t="inlineStr">
        <is>
          <t xml:space="preserve">  WEEK 1  —  29 Mar to 04 Apr 2026</t>
        </is>
      </c>
    </row>
    <row r="4">
      <c r="A4" s="27" t="inlineStr">
        <is>
          <t>Session</t>
        </is>
      </c>
      <c r="B4" s="27" t="inlineStr">
        <is>
          <t>Mon</t>
        </is>
      </c>
      <c r="C4" s="27" t="inlineStr">
        <is>
          <t>Tue</t>
        </is>
      </c>
      <c r="D4" s="27" t="inlineStr">
        <is>
          <t>Wed</t>
        </is>
      </c>
      <c r="E4" s="27" t="inlineStr">
        <is>
          <t>Thu</t>
        </is>
      </c>
      <c r="F4" s="27" t="inlineStr">
        <is>
          <t>Fri</t>
        </is>
      </c>
      <c r="G4" s="27" t="inlineStr">
        <is>
          <t>Sat</t>
        </is>
      </c>
      <c r="H4" s="27" t="inlineStr">
        <is>
          <t>Sun</t>
        </is>
      </c>
    </row>
    <row r="5" ht="20" customHeight="1">
      <c r="A5" s="28" t="inlineStr">
        <is>
          <t>AM</t>
        </is>
      </c>
      <c r="B5" s="29" t="inlineStr"/>
      <c r="C5" s="29" t="inlineStr"/>
      <c r="D5" s="29" t="inlineStr"/>
      <c r="E5" s="29" t="inlineStr"/>
      <c r="F5" s="29" t="inlineStr"/>
      <c r="G5" s="29" t="inlineStr"/>
      <c r="H5" s="29" t="inlineStr"/>
    </row>
    <row r="6" ht="20" customHeight="1">
      <c r="A6" s="30" t="inlineStr">
        <is>
          <t>PM</t>
        </is>
      </c>
      <c r="B6" s="31" t="inlineStr"/>
      <c r="C6" s="31" t="inlineStr"/>
      <c r="D6" s="31" t="inlineStr"/>
      <c r="E6" s="31" t="inlineStr"/>
      <c r="F6" s="31" t="inlineStr"/>
      <c r="G6" s="31" t="inlineStr"/>
      <c r="H6" s="31" t="inlineStr"/>
    </row>
    <row r="7" ht="20" customHeight="1">
      <c r="A7" s="28" t="inlineStr">
        <is>
          <t>Eve</t>
        </is>
      </c>
      <c r="B7" s="29" t="inlineStr"/>
      <c r="C7" s="29" t="inlineStr"/>
      <c r="D7" s="29" t="inlineStr"/>
      <c r="E7" s="29" t="inlineStr"/>
      <c r="F7" s="29" t="inlineStr"/>
      <c r="G7" s="29" t="inlineStr"/>
      <c r="H7" s="29" t="inlineStr"/>
    </row>
    <row r="9" ht="24" customHeight="1">
      <c r="A9" s="26" t="inlineStr">
        <is>
          <t xml:space="preserve">  WEEK 2  —  05 Apr to 11 Apr 2026</t>
        </is>
      </c>
    </row>
    <row r="10">
      <c r="A10" s="27" t="inlineStr">
        <is>
          <t>Session</t>
        </is>
      </c>
      <c r="B10" s="27" t="inlineStr">
        <is>
          <t>Mon</t>
        </is>
      </c>
      <c r="C10" s="27" t="inlineStr">
        <is>
          <t>Tue</t>
        </is>
      </c>
      <c r="D10" s="27" t="inlineStr">
        <is>
          <t>Wed</t>
        </is>
      </c>
      <c r="E10" s="27" t="inlineStr">
        <is>
          <t>Thu</t>
        </is>
      </c>
      <c r="F10" s="27" t="inlineStr">
        <is>
          <t>Fri</t>
        </is>
      </c>
      <c r="G10" s="27" t="inlineStr">
        <is>
          <t>Sat</t>
        </is>
      </c>
      <c r="H10" s="27" t="inlineStr">
        <is>
          <t>Sun</t>
        </is>
      </c>
    </row>
    <row r="11" ht="20" customHeight="1">
      <c r="A11" s="28" t="inlineStr">
        <is>
          <t>AM</t>
        </is>
      </c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</row>
    <row r="12" ht="20" customHeight="1">
      <c r="A12" s="30" t="inlineStr">
        <is>
          <t>PM</t>
        </is>
      </c>
      <c r="B12" s="31" t="inlineStr"/>
      <c r="C12" s="31" t="inlineStr"/>
      <c r="D12" s="31" t="inlineStr"/>
      <c r="E12" s="31" t="inlineStr"/>
      <c r="F12" s="31" t="inlineStr"/>
      <c r="G12" s="31" t="inlineStr"/>
      <c r="H12" s="31" t="inlineStr"/>
    </row>
    <row r="13" ht="20" customHeight="1">
      <c r="A13" s="28" t="inlineStr">
        <is>
          <t>Eve</t>
        </is>
      </c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</row>
    <row r="15" ht="24" customHeight="1">
      <c r="A15" s="26" t="inlineStr">
        <is>
          <t xml:space="preserve">  WEEK 3  —  12 Apr to 18 Apr 2026</t>
        </is>
      </c>
    </row>
    <row r="16">
      <c r="A16" s="27" t="inlineStr">
        <is>
          <t>Session</t>
        </is>
      </c>
      <c r="B16" s="27" t="inlineStr">
        <is>
          <t>Mon</t>
        </is>
      </c>
      <c r="C16" s="27" t="inlineStr">
        <is>
          <t>Tue</t>
        </is>
      </c>
      <c r="D16" s="27" t="inlineStr">
        <is>
          <t>Wed</t>
        </is>
      </c>
      <c r="E16" s="27" t="inlineStr">
        <is>
          <t>Thu</t>
        </is>
      </c>
      <c r="F16" s="27" t="inlineStr">
        <is>
          <t>Fri</t>
        </is>
      </c>
      <c r="G16" s="27" t="inlineStr">
        <is>
          <t>Sat</t>
        </is>
      </c>
      <c r="H16" s="27" t="inlineStr">
        <is>
          <t>Sun</t>
        </is>
      </c>
    </row>
    <row r="17" ht="20" customHeight="1">
      <c r="A17" s="28" t="inlineStr">
        <is>
          <t>AM</t>
        </is>
      </c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</row>
    <row r="18" ht="20" customHeight="1">
      <c r="A18" s="30" t="inlineStr">
        <is>
          <t>PM</t>
        </is>
      </c>
      <c r="B18" s="31" t="inlineStr"/>
      <c r="C18" s="31" t="inlineStr"/>
      <c r="D18" s="31" t="inlineStr"/>
      <c r="E18" s="31" t="inlineStr"/>
      <c r="F18" s="31" t="inlineStr"/>
      <c r="G18" s="31" t="inlineStr"/>
      <c r="H18" s="31" t="inlineStr"/>
    </row>
    <row r="19" ht="20" customHeight="1">
      <c r="A19" s="28" t="inlineStr">
        <is>
          <t>Eve</t>
        </is>
      </c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</row>
    <row r="21" ht="24" customHeight="1">
      <c r="A21" s="26" t="inlineStr">
        <is>
          <t xml:space="preserve">  WEEK 4  —  19 Apr to 25 Apr 2026</t>
        </is>
      </c>
    </row>
    <row r="22">
      <c r="A22" s="27" t="inlineStr">
        <is>
          <t>Session</t>
        </is>
      </c>
      <c r="B22" s="27" t="inlineStr">
        <is>
          <t>Mon</t>
        </is>
      </c>
      <c r="C22" s="27" t="inlineStr">
        <is>
          <t>Tue</t>
        </is>
      </c>
      <c r="D22" s="27" t="inlineStr">
        <is>
          <t>Wed</t>
        </is>
      </c>
      <c r="E22" s="27" t="inlineStr">
        <is>
          <t>Thu</t>
        </is>
      </c>
      <c r="F22" s="27" t="inlineStr">
        <is>
          <t>Fri</t>
        </is>
      </c>
      <c r="G22" s="27" t="inlineStr">
        <is>
          <t>Sat</t>
        </is>
      </c>
      <c r="H22" s="27" t="inlineStr">
        <is>
          <t>Sun</t>
        </is>
      </c>
    </row>
    <row r="23" ht="20" customHeight="1">
      <c r="A23" s="28" t="inlineStr">
        <is>
          <t>AM</t>
        </is>
      </c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</row>
    <row r="24" ht="20" customHeight="1">
      <c r="A24" s="30" t="inlineStr">
        <is>
          <t>PM</t>
        </is>
      </c>
      <c r="B24" s="31" t="inlineStr"/>
      <c r="C24" s="31" t="inlineStr"/>
      <c r="D24" s="31" t="inlineStr"/>
      <c r="E24" s="31" t="inlineStr"/>
      <c r="F24" s="31" t="inlineStr"/>
      <c r="G24" s="31" t="inlineStr"/>
      <c r="H24" s="31" t="inlineStr"/>
    </row>
    <row r="25" ht="20" customHeight="1">
      <c r="A25" s="28" t="inlineStr">
        <is>
          <t>Eve</t>
        </is>
      </c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</row>
    <row r="27" ht="24" customHeight="1">
      <c r="A27" s="26" t="inlineStr">
        <is>
          <t xml:space="preserve">  WEEK 5  —  26 Apr to 02 May 2026</t>
        </is>
      </c>
    </row>
    <row r="28">
      <c r="A28" s="27" t="inlineStr">
        <is>
          <t>Session</t>
        </is>
      </c>
      <c r="B28" s="27" t="inlineStr">
        <is>
          <t>Mon</t>
        </is>
      </c>
      <c r="C28" s="27" t="inlineStr">
        <is>
          <t>Tue</t>
        </is>
      </c>
      <c r="D28" s="27" t="inlineStr">
        <is>
          <t>Wed</t>
        </is>
      </c>
      <c r="E28" s="27" t="inlineStr">
        <is>
          <t>Thu</t>
        </is>
      </c>
      <c r="F28" s="27" t="inlineStr">
        <is>
          <t>Fri</t>
        </is>
      </c>
      <c r="G28" s="27" t="inlineStr">
        <is>
          <t>Sat</t>
        </is>
      </c>
      <c r="H28" s="27" t="inlineStr">
        <is>
          <t>Sun</t>
        </is>
      </c>
    </row>
    <row r="29" ht="20" customHeight="1">
      <c r="A29" s="28" t="inlineStr">
        <is>
          <t>AM</t>
        </is>
      </c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</row>
    <row r="30" ht="20" customHeight="1">
      <c r="A30" s="30" t="inlineStr">
        <is>
          <t>PM</t>
        </is>
      </c>
      <c r="B30" s="31" t="inlineStr"/>
      <c r="C30" s="31" t="inlineStr"/>
      <c r="D30" s="31" t="inlineStr"/>
      <c r="E30" s="31" t="inlineStr"/>
      <c r="F30" s="31" t="inlineStr"/>
      <c r="G30" s="31" t="inlineStr"/>
      <c r="H30" s="31" t="inlineStr"/>
    </row>
    <row r="31" ht="20" customHeight="1">
      <c r="A31" s="28" t="inlineStr">
        <is>
          <t>Eve</t>
        </is>
      </c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</row>
    <row r="33" ht="24" customHeight="1">
      <c r="A33" s="26" t="inlineStr">
        <is>
          <t xml:space="preserve">  WEEK 6  —  03 May to 06 May 2026</t>
        </is>
      </c>
    </row>
    <row r="34">
      <c r="A34" s="27" t="inlineStr">
        <is>
          <t>Session</t>
        </is>
      </c>
      <c r="B34" s="27" t="inlineStr">
        <is>
          <t>Mon</t>
        </is>
      </c>
      <c r="C34" s="27" t="inlineStr">
        <is>
          <t>Tue</t>
        </is>
      </c>
      <c r="D34" s="27" t="inlineStr">
        <is>
          <t>Wed</t>
        </is>
      </c>
      <c r="E34" s="27" t="inlineStr">
        <is>
          <t>Thu</t>
        </is>
      </c>
      <c r="F34" s="27" t="inlineStr">
        <is>
          <t>Fri</t>
        </is>
      </c>
      <c r="G34" s="27" t="inlineStr">
        <is>
          <t>Sat</t>
        </is>
      </c>
      <c r="H34" s="27" t="inlineStr">
        <is>
          <t>Sun</t>
        </is>
      </c>
    </row>
    <row r="35" ht="20" customHeight="1">
      <c r="A35" s="28" t="inlineStr">
        <is>
          <t>AM</t>
        </is>
      </c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</row>
    <row r="36" ht="20" customHeight="1">
      <c r="A36" s="30" t="inlineStr">
        <is>
          <t>PM</t>
        </is>
      </c>
      <c r="B36" s="31" t="inlineStr"/>
      <c r="C36" s="31" t="inlineStr"/>
      <c r="D36" s="31" t="inlineStr"/>
      <c r="E36" s="31" t="inlineStr"/>
      <c r="F36" s="31" t="inlineStr"/>
      <c r="G36" s="31" t="inlineStr"/>
      <c r="H36" s="31" t="inlineStr"/>
    </row>
    <row r="37" ht="20" customHeight="1">
      <c r="A37" s="28" t="inlineStr">
        <is>
          <t>Eve</t>
        </is>
      </c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</row>
  </sheetData>
  <mergeCells count="7">
    <mergeCell ref="A9:H9"/>
    <mergeCell ref="A3:H3"/>
    <mergeCell ref="A21:H21"/>
    <mergeCell ref="A15:H15"/>
    <mergeCell ref="A33:H33"/>
    <mergeCell ref="A1:H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32" t="inlineStr">
        <is>
          <t xml:space="preserve">  MATHS — Topic Checklist</t>
        </is>
      </c>
    </row>
    <row r="2" ht="28" customHeight="1">
      <c r="A2" s="33" t="inlineStr">
        <is>
          <t>#</t>
        </is>
      </c>
      <c r="B2" s="33" t="inlineStr">
        <is>
          <t>Topic / Area</t>
        </is>
      </c>
      <c r="C2" s="33" t="inlineStr">
        <is>
          <t>1st Pass ✓</t>
        </is>
      </c>
      <c r="D2" s="33" t="inlineStr">
        <is>
          <t>2nd Pass ✓</t>
        </is>
      </c>
      <c r="E2" s="33" t="inlineStr">
        <is>
          <t>Confidence (1–5)</t>
        </is>
      </c>
    </row>
    <row r="3">
      <c r="A3" s="34" t="n">
        <v>1</v>
      </c>
      <c r="B3" s="35" t="inlineStr">
        <is>
          <t>Number &amp; Fractions</t>
        </is>
      </c>
      <c r="C3" s="34" t="inlineStr"/>
      <c r="D3" s="34" t="inlineStr"/>
      <c r="E3" s="34" t="inlineStr"/>
    </row>
    <row r="4">
      <c r="A4" s="36" t="n">
        <v>2</v>
      </c>
      <c r="B4" s="37" t="inlineStr">
        <is>
          <t>Algebra – Equations</t>
        </is>
      </c>
      <c r="C4" s="36" t="inlineStr"/>
      <c r="D4" s="36" t="inlineStr"/>
      <c r="E4" s="36" t="inlineStr"/>
    </row>
    <row r="5">
      <c r="A5" s="34" t="n">
        <v>3</v>
      </c>
      <c r="B5" s="35" t="inlineStr">
        <is>
          <t>Algebra – Graphs</t>
        </is>
      </c>
      <c r="C5" s="34" t="inlineStr"/>
      <c r="D5" s="34" t="inlineStr"/>
      <c r="E5" s="34" t="inlineStr"/>
    </row>
    <row r="6">
      <c r="A6" s="36" t="n">
        <v>4</v>
      </c>
      <c r="B6" s="37" t="inlineStr">
        <is>
          <t>Ratio &amp; Proportion</t>
        </is>
      </c>
      <c r="C6" s="36" t="inlineStr"/>
      <c r="D6" s="36" t="inlineStr"/>
      <c r="E6" s="36" t="inlineStr"/>
    </row>
    <row r="7">
      <c r="A7" s="34" t="n">
        <v>5</v>
      </c>
      <c r="B7" s="35" t="inlineStr">
        <is>
          <t>Percentages</t>
        </is>
      </c>
      <c r="C7" s="34" t="inlineStr"/>
      <c r="D7" s="34" t="inlineStr"/>
      <c r="E7" s="34" t="inlineStr"/>
    </row>
    <row r="8">
      <c r="A8" s="36" t="n">
        <v>6</v>
      </c>
      <c r="B8" s="37" t="inlineStr">
        <is>
          <t>Statistics &amp; Probability</t>
        </is>
      </c>
      <c r="C8" s="36" t="inlineStr"/>
      <c r="D8" s="36" t="inlineStr"/>
      <c r="E8" s="36" t="inlineStr"/>
    </row>
    <row r="9">
      <c r="A9" s="34" t="n">
        <v>7</v>
      </c>
      <c r="B9" s="35" t="inlineStr">
        <is>
          <t>Geometry – Angles</t>
        </is>
      </c>
      <c r="C9" s="34" t="inlineStr"/>
      <c r="D9" s="34" t="inlineStr"/>
      <c r="E9" s="34" t="inlineStr"/>
    </row>
    <row r="10">
      <c r="A10" s="36" t="n">
        <v>8</v>
      </c>
      <c r="B10" s="37" t="inlineStr">
        <is>
          <t>Geometry – Circles</t>
        </is>
      </c>
      <c r="C10" s="36" t="inlineStr"/>
      <c r="D10" s="36" t="inlineStr"/>
      <c r="E10" s="36" t="inlineStr"/>
    </row>
    <row r="11">
      <c r="A11" s="34" t="n">
        <v>9</v>
      </c>
      <c r="B11" s="35" t="inlineStr">
        <is>
          <t>Trigonometry</t>
        </is>
      </c>
      <c r="C11" s="34" t="inlineStr"/>
      <c r="D11" s="34" t="inlineStr"/>
      <c r="E11" s="34" t="inlineStr"/>
    </row>
    <row r="12">
      <c r="A12" s="36" t="n">
        <v>10</v>
      </c>
      <c r="B12" s="37" t="inlineStr">
        <is>
          <t>Vectors</t>
        </is>
      </c>
      <c r="C12" s="36" t="inlineStr"/>
      <c r="D12" s="36" t="inlineStr"/>
      <c r="E12" s="36" t="inlineStr"/>
    </row>
    <row r="13">
      <c r="A13" s="34" t="n">
        <v>11</v>
      </c>
      <c r="B13" s="35" t="inlineStr">
        <is>
          <t>Sequences</t>
        </is>
      </c>
      <c r="C13" s="34" t="inlineStr"/>
      <c r="D13" s="34" t="inlineStr"/>
      <c r="E13" s="34" t="inlineStr"/>
    </row>
    <row r="14">
      <c r="A14" s="36" t="n">
        <v>12</v>
      </c>
      <c r="B14" s="37" t="inlineStr">
        <is>
          <t>Transformations</t>
        </is>
      </c>
      <c r="C14" s="36" t="inlineStr"/>
      <c r="D14" s="36" t="inlineStr"/>
      <c r="E14" s="36" t="inlineStr"/>
    </row>
    <row r="15">
      <c r="A15" s="38" t="n"/>
      <c r="B15" s="38" t="n"/>
      <c r="C15" s="38" t="n"/>
      <c r="D15" s="38" t="n"/>
      <c r="E15" s="38" t="n"/>
    </row>
    <row r="16">
      <c r="A16" s="38" t="n"/>
      <c r="B16" s="38" t="n"/>
      <c r="C16" s="38" t="n"/>
      <c r="D16" s="38" t="n"/>
      <c r="E16" s="38" t="n"/>
    </row>
    <row r="17">
      <c r="A17" s="38" t="n"/>
      <c r="B17" s="38" t="n"/>
      <c r="C17" s="38" t="n"/>
      <c r="D17" s="38" t="n"/>
      <c r="E17" s="38" t="n"/>
    </row>
    <row r="18">
      <c r="A18" s="38" t="n"/>
      <c r="B18" s="38" t="n"/>
      <c r="C18" s="38" t="n"/>
      <c r="D18" s="38" t="n"/>
      <c r="E18" s="38" t="n"/>
    </row>
    <row r="19">
      <c r="A19" s="38" t="n"/>
      <c r="B19" s="38" t="n"/>
      <c r="C19" s="38" t="n"/>
      <c r="D19" s="38" t="n"/>
      <c r="E19" s="38" t="n"/>
    </row>
  </sheetData>
  <mergeCells count="1">
    <mergeCell ref="A1:E1"/>
  </mergeCells>
  <dataValidations count="1">
    <dataValidation sqref="E3:E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39" t="inlineStr">
        <is>
          <t xml:space="preserve">  ENGLISH LITERATURE — Topic Checklist</t>
        </is>
      </c>
    </row>
    <row r="2" ht="28" customHeight="1">
      <c r="A2" s="40" t="inlineStr">
        <is>
          <t>#</t>
        </is>
      </c>
      <c r="B2" s="40" t="inlineStr">
        <is>
          <t>Topic / Area</t>
        </is>
      </c>
      <c r="C2" s="40" t="inlineStr">
        <is>
          <t>1st Pass ✓</t>
        </is>
      </c>
      <c r="D2" s="40" t="inlineStr">
        <is>
          <t>2nd Pass ✓</t>
        </is>
      </c>
      <c r="E2" s="40" t="inlineStr">
        <is>
          <t>Confidence (1–5)</t>
        </is>
      </c>
    </row>
    <row r="3">
      <c r="A3" s="34" t="n">
        <v>1</v>
      </c>
      <c r="B3" s="35" t="inlineStr">
        <is>
          <t>Macbeth – Plot</t>
        </is>
      </c>
      <c r="C3" s="34" t="inlineStr"/>
      <c r="D3" s="34" t="inlineStr"/>
      <c r="E3" s="34" t="inlineStr"/>
    </row>
    <row r="4">
      <c r="A4" s="41" t="n">
        <v>2</v>
      </c>
      <c r="B4" s="42" t="inlineStr">
        <is>
          <t>Macbeth – Characters</t>
        </is>
      </c>
      <c r="C4" s="41" t="inlineStr"/>
      <c r="D4" s="41" t="inlineStr"/>
      <c r="E4" s="41" t="inlineStr"/>
    </row>
    <row r="5">
      <c r="A5" s="34" t="n">
        <v>3</v>
      </c>
      <c r="B5" s="35" t="inlineStr">
        <is>
          <t>Macbeth – Themes</t>
        </is>
      </c>
      <c r="C5" s="34" t="inlineStr"/>
      <c r="D5" s="34" t="inlineStr"/>
      <c r="E5" s="34" t="inlineStr"/>
    </row>
    <row r="6">
      <c r="A6" s="41" t="n">
        <v>4</v>
      </c>
      <c r="B6" s="42" t="inlineStr">
        <is>
          <t>A Christmas Carol – Plot</t>
        </is>
      </c>
      <c r="C6" s="41" t="inlineStr"/>
      <c r="D6" s="41" t="inlineStr"/>
      <c r="E6" s="41" t="inlineStr"/>
    </row>
    <row r="7">
      <c r="A7" s="34" t="n">
        <v>5</v>
      </c>
      <c r="B7" s="35" t="inlineStr">
        <is>
          <t>A Christmas Carol – Themes</t>
        </is>
      </c>
      <c r="C7" s="34" t="inlineStr"/>
      <c r="D7" s="34" t="inlineStr"/>
      <c r="E7" s="34" t="inlineStr"/>
    </row>
    <row r="8">
      <c r="A8" s="41" t="n">
        <v>6</v>
      </c>
      <c r="B8" s="42" t="inlineStr">
        <is>
          <t>Power &amp; Conflict poems (x15)</t>
        </is>
      </c>
      <c r="C8" s="41" t="inlineStr"/>
      <c r="D8" s="41" t="inlineStr"/>
      <c r="E8" s="41" t="inlineStr"/>
    </row>
    <row r="9">
      <c r="A9" s="34" t="n">
        <v>7</v>
      </c>
      <c r="B9" s="35" t="inlineStr">
        <is>
          <t>Unseen poem technique</t>
        </is>
      </c>
      <c r="C9" s="34" t="inlineStr"/>
      <c r="D9" s="34" t="inlineStr"/>
      <c r="E9" s="34" t="inlineStr"/>
    </row>
    <row r="10">
      <c r="A10" s="41" t="n">
        <v>8</v>
      </c>
      <c r="B10" s="42" t="inlineStr">
        <is>
          <t>Essay structure &amp; PEE</t>
        </is>
      </c>
      <c r="C10" s="41" t="inlineStr"/>
      <c r="D10" s="41" t="inlineStr"/>
      <c r="E10" s="41" t="inlineStr"/>
    </row>
    <row r="11">
      <c r="A11" s="34" t="n">
        <v>9</v>
      </c>
      <c r="B11" s="35" t="inlineStr">
        <is>
          <t>Quotation bank</t>
        </is>
      </c>
      <c r="C11" s="34" t="inlineStr"/>
      <c r="D11" s="34" t="inlineStr"/>
      <c r="E11" s="34" t="inlineStr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  <row r="16">
      <c r="A16" s="38" t="n"/>
      <c r="B16" s="38" t="n"/>
      <c r="C16" s="38" t="n"/>
      <c r="D16" s="38" t="n"/>
      <c r="E16" s="38" t="n"/>
    </row>
  </sheetData>
  <mergeCells count="1">
    <mergeCell ref="A1:E1"/>
  </mergeCells>
  <dataValidations count="1">
    <dataValidation sqref="E3:E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43" t="inlineStr">
        <is>
          <t xml:space="preserve">  ENGLISH LANGUAGE — Topic Checklist</t>
        </is>
      </c>
    </row>
    <row r="2" ht="28" customHeight="1">
      <c r="A2" s="44" t="inlineStr">
        <is>
          <t>#</t>
        </is>
      </c>
      <c r="B2" s="44" t="inlineStr">
        <is>
          <t>Topic / Area</t>
        </is>
      </c>
      <c r="C2" s="44" t="inlineStr">
        <is>
          <t>1st Pass ✓</t>
        </is>
      </c>
      <c r="D2" s="44" t="inlineStr">
        <is>
          <t>2nd Pass ✓</t>
        </is>
      </c>
      <c r="E2" s="44" t="inlineStr">
        <is>
          <t>Confidence (1–5)</t>
        </is>
      </c>
    </row>
    <row r="3">
      <c r="A3" s="34" t="n">
        <v>1</v>
      </c>
      <c r="B3" s="35" t="inlineStr">
        <is>
          <t>Reading Q1 – Find &amp; copy</t>
        </is>
      </c>
      <c r="C3" s="34" t="inlineStr"/>
      <c r="D3" s="34" t="inlineStr"/>
      <c r="E3" s="34" t="inlineStr"/>
    </row>
    <row r="4">
      <c r="A4" s="45" t="n">
        <v>2</v>
      </c>
      <c r="B4" s="46" t="inlineStr">
        <is>
          <t>Reading Q2 – Language analysis</t>
        </is>
      </c>
      <c r="C4" s="45" t="inlineStr"/>
      <c r="D4" s="45" t="inlineStr"/>
      <c r="E4" s="45" t="inlineStr"/>
    </row>
    <row r="5">
      <c r="A5" s="34" t="n">
        <v>3</v>
      </c>
      <c r="B5" s="35" t="inlineStr">
        <is>
          <t>Reading Q3 – Structure</t>
        </is>
      </c>
      <c r="C5" s="34" t="inlineStr"/>
      <c r="D5" s="34" t="inlineStr"/>
      <c r="E5" s="34" t="inlineStr"/>
    </row>
    <row r="6">
      <c r="A6" s="45" t="n">
        <v>4</v>
      </c>
      <c r="B6" s="46" t="inlineStr">
        <is>
          <t>Reading Q4 – Evaluate</t>
        </is>
      </c>
      <c r="C6" s="45" t="inlineStr"/>
      <c r="D6" s="45" t="inlineStr"/>
      <c r="E6" s="45" t="inlineStr"/>
    </row>
    <row r="7">
      <c r="A7" s="34" t="n">
        <v>5</v>
      </c>
      <c r="B7" s="35" t="inlineStr">
        <is>
          <t>Writing – Descriptive</t>
        </is>
      </c>
      <c r="C7" s="34" t="inlineStr"/>
      <c r="D7" s="34" t="inlineStr"/>
      <c r="E7" s="34" t="inlineStr"/>
    </row>
    <row r="8">
      <c r="A8" s="45" t="n">
        <v>6</v>
      </c>
      <c r="B8" s="46" t="inlineStr">
        <is>
          <t>Writing – Narrative</t>
        </is>
      </c>
      <c r="C8" s="45" t="inlineStr"/>
      <c r="D8" s="45" t="inlineStr"/>
      <c r="E8" s="45" t="inlineStr"/>
    </row>
    <row r="9">
      <c r="A9" s="34" t="n">
        <v>7</v>
      </c>
      <c r="B9" s="35" t="inlineStr">
        <is>
          <t>Writing – Persuasive/Argue</t>
        </is>
      </c>
      <c r="C9" s="34" t="inlineStr"/>
      <c r="D9" s="34" t="inlineStr"/>
      <c r="E9" s="34" t="inlineStr"/>
    </row>
    <row r="10">
      <c r="A10" s="45" t="n">
        <v>8</v>
      </c>
      <c r="B10" s="46" t="inlineStr">
        <is>
          <t>Spelling, punctuation &amp; grammar</t>
        </is>
      </c>
      <c r="C10" s="45" t="inlineStr"/>
      <c r="D10" s="45" t="inlineStr"/>
      <c r="E10" s="45" t="inlineStr"/>
    </row>
    <row r="11">
      <c r="A11" s="38" t="n"/>
      <c r="B11" s="38" t="n"/>
      <c r="C11" s="38" t="n"/>
      <c r="D11" s="38" t="n"/>
      <c r="E11" s="38" t="n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</sheetData>
  <mergeCells count="1">
    <mergeCell ref="A1:E1"/>
  </mergeCells>
  <dataValidations count="1">
    <dataValidation sqref="E3:E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47" t="inlineStr">
        <is>
          <t xml:space="preserve">  PHYSICS — Topic Checklist</t>
        </is>
      </c>
    </row>
    <row r="2" ht="28" customHeight="1">
      <c r="A2" s="48" t="inlineStr">
        <is>
          <t>#</t>
        </is>
      </c>
      <c r="B2" s="48" t="inlineStr">
        <is>
          <t>Topic / Area</t>
        </is>
      </c>
      <c r="C2" s="48" t="inlineStr">
        <is>
          <t>1st Pass ✓</t>
        </is>
      </c>
      <c r="D2" s="48" t="inlineStr">
        <is>
          <t>2nd Pass ✓</t>
        </is>
      </c>
      <c r="E2" s="48" t="inlineStr">
        <is>
          <t>Confidence (1–5)</t>
        </is>
      </c>
    </row>
    <row r="3">
      <c r="A3" s="34" t="n">
        <v>1</v>
      </c>
      <c r="B3" s="35" t="inlineStr">
        <is>
          <t>Forces &amp; Motion</t>
        </is>
      </c>
      <c r="C3" s="34" t="inlineStr"/>
      <c r="D3" s="34" t="inlineStr"/>
      <c r="E3" s="34" t="inlineStr"/>
    </row>
    <row r="4">
      <c r="A4" s="49" t="n">
        <v>2</v>
      </c>
      <c r="B4" s="50" t="inlineStr">
        <is>
          <t>Energy</t>
        </is>
      </c>
      <c r="C4" s="49" t="inlineStr"/>
      <c r="D4" s="49" t="inlineStr"/>
      <c r="E4" s="49" t="inlineStr"/>
    </row>
    <row r="5">
      <c r="A5" s="34" t="n">
        <v>3</v>
      </c>
      <c r="B5" s="35" t="inlineStr">
        <is>
          <t>Waves</t>
        </is>
      </c>
      <c r="C5" s="34" t="inlineStr"/>
      <c r="D5" s="34" t="inlineStr"/>
      <c r="E5" s="34" t="inlineStr"/>
    </row>
    <row r="6">
      <c r="A6" s="49" t="n">
        <v>4</v>
      </c>
      <c r="B6" s="50" t="inlineStr">
        <is>
          <t>Electricity</t>
        </is>
      </c>
      <c r="C6" s="49" t="inlineStr"/>
      <c r="D6" s="49" t="inlineStr"/>
      <c r="E6" s="49" t="inlineStr"/>
    </row>
    <row r="7">
      <c r="A7" s="34" t="n">
        <v>5</v>
      </c>
      <c r="B7" s="35" t="inlineStr">
        <is>
          <t>Magnetism &amp; Electromagnetism</t>
        </is>
      </c>
      <c r="C7" s="34" t="inlineStr"/>
      <c r="D7" s="34" t="inlineStr"/>
      <c r="E7" s="34" t="inlineStr"/>
    </row>
    <row r="8">
      <c r="A8" s="49" t="n">
        <v>6</v>
      </c>
      <c r="B8" s="50" t="inlineStr">
        <is>
          <t>Particle Model</t>
        </is>
      </c>
      <c r="C8" s="49" t="inlineStr"/>
      <c r="D8" s="49" t="inlineStr"/>
      <c r="E8" s="49" t="inlineStr"/>
    </row>
    <row r="9">
      <c r="A9" s="34" t="n">
        <v>7</v>
      </c>
      <c r="B9" s="35" t="inlineStr">
        <is>
          <t>Atomic Structure</t>
        </is>
      </c>
      <c r="C9" s="34" t="inlineStr"/>
      <c r="D9" s="34" t="inlineStr"/>
      <c r="E9" s="34" t="inlineStr"/>
    </row>
    <row r="10">
      <c r="A10" s="49" t="n">
        <v>8</v>
      </c>
      <c r="B10" s="50" t="inlineStr">
        <is>
          <t>Space (if applicable)</t>
        </is>
      </c>
      <c r="C10" s="49" t="inlineStr"/>
      <c r="D10" s="49" t="inlineStr"/>
      <c r="E10" s="49" t="inlineStr"/>
    </row>
    <row r="11">
      <c r="A11" s="34" t="n">
        <v>9</v>
      </c>
      <c r="B11" s="35" t="inlineStr">
        <is>
          <t>Required practicals</t>
        </is>
      </c>
      <c r="C11" s="34" t="inlineStr"/>
      <c r="D11" s="34" t="inlineStr"/>
      <c r="E11" s="34" t="inlineStr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  <row r="16">
      <c r="A16" s="38" t="n"/>
      <c r="B16" s="38" t="n"/>
      <c r="C16" s="38" t="n"/>
      <c r="D16" s="38" t="n"/>
      <c r="E16" s="38" t="n"/>
    </row>
  </sheetData>
  <mergeCells count="1">
    <mergeCell ref="A1:E1"/>
  </mergeCells>
  <dataValidations count="1">
    <dataValidation sqref="E3:E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51" t="inlineStr">
        <is>
          <t xml:space="preserve">  BIOLOGY — Topic Checklist</t>
        </is>
      </c>
    </row>
    <row r="2" ht="28" customHeight="1">
      <c r="A2" s="20" t="inlineStr">
        <is>
          <t>#</t>
        </is>
      </c>
      <c r="B2" s="20" t="inlineStr">
        <is>
          <t>Topic / Area</t>
        </is>
      </c>
      <c r="C2" s="20" t="inlineStr">
        <is>
          <t>1st Pass ✓</t>
        </is>
      </c>
      <c r="D2" s="20" t="inlineStr">
        <is>
          <t>2nd Pass ✓</t>
        </is>
      </c>
      <c r="E2" s="20" t="inlineStr">
        <is>
          <t>Confidence (1–5)</t>
        </is>
      </c>
    </row>
    <row r="3">
      <c r="A3" s="34" t="n">
        <v>1</v>
      </c>
      <c r="B3" s="35" t="inlineStr">
        <is>
          <t>Cell Biology</t>
        </is>
      </c>
      <c r="C3" s="34" t="inlineStr"/>
      <c r="D3" s="34" t="inlineStr"/>
      <c r="E3" s="34" t="inlineStr"/>
    </row>
    <row r="4">
      <c r="A4" s="52" t="n">
        <v>2</v>
      </c>
      <c r="B4" s="53" t="inlineStr">
        <is>
          <t>Organisation</t>
        </is>
      </c>
      <c r="C4" s="52" t="inlineStr"/>
      <c r="D4" s="52" t="inlineStr"/>
      <c r="E4" s="52" t="inlineStr"/>
    </row>
    <row r="5">
      <c r="A5" s="34" t="n">
        <v>3</v>
      </c>
      <c r="B5" s="35" t="inlineStr">
        <is>
          <t>Infection &amp; Response</t>
        </is>
      </c>
      <c r="C5" s="34" t="inlineStr"/>
      <c r="D5" s="34" t="inlineStr"/>
      <c r="E5" s="34" t="inlineStr"/>
    </row>
    <row r="6">
      <c r="A6" s="52" t="n">
        <v>4</v>
      </c>
      <c r="B6" s="53" t="inlineStr">
        <is>
          <t>Bioenergetics</t>
        </is>
      </c>
      <c r="C6" s="52" t="inlineStr"/>
      <c r="D6" s="52" t="inlineStr"/>
      <c r="E6" s="52" t="inlineStr"/>
    </row>
    <row r="7">
      <c r="A7" s="34" t="n">
        <v>5</v>
      </c>
      <c r="B7" s="35" t="inlineStr">
        <is>
          <t>Homeostasis &amp; Response</t>
        </is>
      </c>
      <c r="C7" s="34" t="inlineStr"/>
      <c r="D7" s="34" t="inlineStr"/>
      <c r="E7" s="34" t="inlineStr"/>
    </row>
    <row r="8">
      <c r="A8" s="52" t="n">
        <v>6</v>
      </c>
      <c r="B8" s="53" t="inlineStr">
        <is>
          <t>Inheritance &amp; Variation</t>
        </is>
      </c>
      <c r="C8" s="52" t="inlineStr"/>
      <c r="D8" s="52" t="inlineStr"/>
      <c r="E8" s="52" t="inlineStr"/>
    </row>
    <row r="9">
      <c r="A9" s="34" t="n">
        <v>7</v>
      </c>
      <c r="B9" s="35" t="inlineStr">
        <is>
          <t>Ecology</t>
        </is>
      </c>
      <c r="C9" s="34" t="inlineStr"/>
      <c r="D9" s="34" t="inlineStr"/>
      <c r="E9" s="34" t="inlineStr"/>
    </row>
    <row r="10">
      <c r="A10" s="52" t="n">
        <v>8</v>
      </c>
      <c r="B10" s="53" t="inlineStr">
        <is>
          <t>Required practicals</t>
        </is>
      </c>
      <c r="C10" s="52" t="inlineStr"/>
      <c r="D10" s="52" t="inlineStr"/>
      <c r="E10" s="52" t="inlineStr"/>
    </row>
    <row r="11">
      <c r="A11" s="38" t="n"/>
      <c r="B11" s="38" t="n"/>
      <c r="C11" s="38" t="n"/>
      <c r="D11" s="38" t="n"/>
      <c r="E11" s="38" t="n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</sheetData>
  <mergeCells count="1">
    <mergeCell ref="A1:E1"/>
  </mergeCells>
  <dataValidations count="1">
    <dataValidation sqref="E3:E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54" t="inlineStr">
        <is>
          <t xml:space="preserve">  CHEMISTRY — Topic Checklist</t>
        </is>
      </c>
    </row>
    <row r="2" ht="28" customHeight="1">
      <c r="A2" s="55" t="inlineStr">
        <is>
          <t>#</t>
        </is>
      </c>
      <c r="B2" s="55" t="inlineStr">
        <is>
          <t>Topic / Area</t>
        </is>
      </c>
      <c r="C2" s="55" t="inlineStr">
        <is>
          <t>1st Pass ✓</t>
        </is>
      </c>
      <c r="D2" s="55" t="inlineStr">
        <is>
          <t>2nd Pass ✓</t>
        </is>
      </c>
      <c r="E2" s="55" t="inlineStr">
        <is>
          <t>Confidence (1–5)</t>
        </is>
      </c>
    </row>
    <row r="3">
      <c r="A3" s="34" t="n">
        <v>1</v>
      </c>
      <c r="B3" s="35" t="inlineStr">
        <is>
          <t>Atomic Structure</t>
        </is>
      </c>
      <c r="C3" s="34" t="inlineStr"/>
      <c r="D3" s="34" t="inlineStr"/>
      <c r="E3" s="34" t="inlineStr"/>
    </row>
    <row r="4">
      <c r="A4" s="56" t="n">
        <v>2</v>
      </c>
      <c r="B4" s="57" t="inlineStr">
        <is>
          <t>Bonding</t>
        </is>
      </c>
      <c r="C4" s="56" t="inlineStr"/>
      <c r="D4" s="56" t="inlineStr"/>
      <c r="E4" s="56" t="inlineStr"/>
    </row>
    <row r="5">
      <c r="A5" s="34" t="n">
        <v>3</v>
      </c>
      <c r="B5" s="35" t="inlineStr">
        <is>
          <t>Quantitative Chemistry</t>
        </is>
      </c>
      <c r="C5" s="34" t="inlineStr"/>
      <c r="D5" s="34" t="inlineStr"/>
      <c r="E5" s="34" t="inlineStr"/>
    </row>
    <row r="6">
      <c r="A6" s="56" t="n">
        <v>4</v>
      </c>
      <c r="B6" s="57" t="inlineStr">
        <is>
          <t>Chemical Changes</t>
        </is>
      </c>
      <c r="C6" s="56" t="inlineStr"/>
      <c r="D6" s="56" t="inlineStr"/>
      <c r="E6" s="56" t="inlineStr"/>
    </row>
    <row r="7">
      <c r="A7" s="34" t="n">
        <v>5</v>
      </c>
      <c r="B7" s="35" t="inlineStr">
        <is>
          <t>Energy Changes</t>
        </is>
      </c>
      <c r="C7" s="34" t="inlineStr"/>
      <c r="D7" s="34" t="inlineStr"/>
      <c r="E7" s="34" t="inlineStr"/>
    </row>
    <row r="8">
      <c r="A8" s="56" t="n">
        <v>6</v>
      </c>
      <c r="B8" s="57" t="inlineStr">
        <is>
          <t>Rate &amp; Equilibrium</t>
        </is>
      </c>
      <c r="C8" s="56" t="inlineStr"/>
      <c r="D8" s="56" t="inlineStr"/>
      <c r="E8" s="56" t="inlineStr"/>
    </row>
    <row r="9">
      <c r="A9" s="34" t="n">
        <v>7</v>
      </c>
      <c r="B9" s="35" t="inlineStr">
        <is>
          <t>Organic Chemistry</t>
        </is>
      </c>
      <c r="C9" s="34" t="inlineStr"/>
      <c r="D9" s="34" t="inlineStr"/>
      <c r="E9" s="34" t="inlineStr"/>
    </row>
    <row r="10">
      <c r="A10" s="56" t="n">
        <v>8</v>
      </c>
      <c r="B10" s="57" t="inlineStr">
        <is>
          <t>Chemical Analysis</t>
        </is>
      </c>
      <c r="C10" s="56" t="inlineStr"/>
      <c r="D10" s="56" t="inlineStr"/>
      <c r="E10" s="56" t="inlineStr"/>
    </row>
    <row r="11">
      <c r="A11" s="34" t="n">
        <v>9</v>
      </c>
      <c r="B11" s="35" t="inlineStr">
        <is>
          <t>Earth &amp; Atmosphere</t>
        </is>
      </c>
      <c r="C11" s="34" t="inlineStr"/>
      <c r="D11" s="34" t="inlineStr"/>
      <c r="E11" s="34" t="inlineStr"/>
    </row>
    <row r="12">
      <c r="A12" s="56" t="n">
        <v>10</v>
      </c>
      <c r="B12" s="57" t="inlineStr">
        <is>
          <t>Required practicals</t>
        </is>
      </c>
      <c r="C12" s="56" t="inlineStr"/>
      <c r="D12" s="56" t="inlineStr"/>
      <c r="E12" s="56" t="inlineStr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  <row r="16">
      <c r="A16" s="38" t="n"/>
      <c r="B16" s="38" t="n"/>
      <c r="C16" s="38" t="n"/>
      <c r="D16" s="38" t="n"/>
      <c r="E16" s="38" t="n"/>
    </row>
    <row r="17">
      <c r="A17" s="38" t="n"/>
      <c r="B17" s="38" t="n"/>
      <c r="C17" s="38" t="n"/>
      <c r="D17" s="38" t="n"/>
      <c r="E17" s="38" t="n"/>
    </row>
  </sheetData>
  <mergeCells count="1">
    <mergeCell ref="A1:E1"/>
  </mergeCells>
  <dataValidations count="1">
    <dataValidation sqref="E3:E1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58" t="inlineStr">
        <is>
          <t xml:space="preserve">  RS — Topic Checklist</t>
        </is>
      </c>
    </row>
    <row r="2" ht="28" customHeight="1">
      <c r="A2" s="59" t="inlineStr">
        <is>
          <t>#</t>
        </is>
      </c>
      <c r="B2" s="59" t="inlineStr">
        <is>
          <t>Topic / Area</t>
        </is>
      </c>
      <c r="C2" s="59" t="inlineStr">
        <is>
          <t>1st Pass ✓</t>
        </is>
      </c>
      <c r="D2" s="59" t="inlineStr">
        <is>
          <t>2nd Pass ✓</t>
        </is>
      </c>
      <c r="E2" s="59" t="inlineStr">
        <is>
          <t>Confidence (1–5)</t>
        </is>
      </c>
    </row>
    <row r="3">
      <c r="A3" s="34" t="n">
        <v>1</v>
      </c>
      <c r="B3" s="35" t="inlineStr">
        <is>
          <t>Christian beliefs</t>
        </is>
      </c>
      <c r="C3" s="34" t="inlineStr"/>
      <c r="D3" s="34" t="inlineStr"/>
      <c r="E3" s="34" t="inlineStr"/>
    </row>
    <row r="4">
      <c r="A4" s="60" t="n">
        <v>2</v>
      </c>
      <c r="B4" s="61" t="inlineStr">
        <is>
          <t>Christian practices</t>
        </is>
      </c>
      <c r="C4" s="60" t="inlineStr"/>
      <c r="D4" s="60" t="inlineStr"/>
      <c r="E4" s="60" t="inlineStr"/>
    </row>
    <row r="5">
      <c r="A5" s="34" t="n">
        <v>3</v>
      </c>
      <c r="B5" s="35" t="inlineStr">
        <is>
          <t>Muslim beliefs</t>
        </is>
      </c>
      <c r="C5" s="34" t="inlineStr"/>
      <c r="D5" s="34" t="inlineStr"/>
      <c r="E5" s="34" t="inlineStr"/>
    </row>
    <row r="6">
      <c r="A6" s="60" t="n">
        <v>4</v>
      </c>
      <c r="B6" s="61" t="inlineStr">
        <is>
          <t>Muslim practices</t>
        </is>
      </c>
      <c r="C6" s="60" t="inlineStr"/>
      <c r="D6" s="60" t="inlineStr"/>
      <c r="E6" s="60" t="inlineStr"/>
    </row>
    <row r="7">
      <c r="A7" s="34" t="n">
        <v>5</v>
      </c>
      <c r="B7" s="35" t="inlineStr">
        <is>
          <t>Relationships &amp; Families</t>
        </is>
      </c>
      <c r="C7" s="34" t="inlineStr"/>
      <c r="D7" s="34" t="inlineStr"/>
      <c r="E7" s="34" t="inlineStr"/>
    </row>
    <row r="8">
      <c r="A8" s="60" t="n">
        <v>6</v>
      </c>
      <c r="B8" s="61" t="inlineStr">
        <is>
          <t>Religion &amp; Life</t>
        </is>
      </c>
      <c r="C8" s="60" t="inlineStr"/>
      <c r="D8" s="60" t="inlineStr"/>
      <c r="E8" s="60" t="inlineStr"/>
    </row>
    <row r="9">
      <c r="A9" s="34" t="n">
        <v>7</v>
      </c>
      <c r="B9" s="35" t="inlineStr">
        <is>
          <t>Crime &amp; Punishment</t>
        </is>
      </c>
      <c r="C9" s="34" t="inlineStr"/>
      <c r="D9" s="34" t="inlineStr"/>
      <c r="E9" s="34" t="inlineStr"/>
    </row>
    <row r="10">
      <c r="A10" s="60" t="n">
        <v>8</v>
      </c>
      <c r="B10" s="61" t="inlineStr">
        <is>
          <t>Peace &amp; Conflict</t>
        </is>
      </c>
      <c r="C10" s="60" t="inlineStr"/>
      <c r="D10" s="60" t="inlineStr"/>
      <c r="E10" s="60" t="inlineStr"/>
    </row>
    <row r="11">
      <c r="A11" s="38" t="n"/>
      <c r="B11" s="38" t="n"/>
      <c r="C11" s="38" t="n"/>
      <c r="D11" s="38" t="n"/>
      <c r="E11" s="38" t="n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</sheetData>
  <mergeCells count="1">
    <mergeCell ref="A1:E1"/>
  </mergeCells>
  <dataValidations count="1">
    <dataValidation sqref="E3:E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62" t="inlineStr">
        <is>
          <t xml:space="preserve">  HISTORY — Topic Checklist</t>
        </is>
      </c>
    </row>
    <row r="2" ht="28" customHeight="1">
      <c r="A2" s="63" t="inlineStr">
        <is>
          <t>#</t>
        </is>
      </c>
      <c r="B2" s="63" t="inlineStr">
        <is>
          <t>Topic / Area</t>
        </is>
      </c>
      <c r="C2" s="63" t="inlineStr">
        <is>
          <t>1st Pass ✓</t>
        </is>
      </c>
      <c r="D2" s="63" t="inlineStr">
        <is>
          <t>2nd Pass ✓</t>
        </is>
      </c>
      <c r="E2" s="63" t="inlineStr">
        <is>
          <t>Confidence (1–5)</t>
        </is>
      </c>
    </row>
    <row r="3">
      <c r="A3" s="34" t="n">
        <v>1</v>
      </c>
      <c r="B3" s="35" t="inlineStr">
        <is>
          <t>Medicine Through Time – key turning points</t>
        </is>
      </c>
      <c r="C3" s="34" t="inlineStr"/>
      <c r="D3" s="34" t="inlineStr"/>
      <c r="E3" s="34" t="inlineStr"/>
    </row>
    <row r="4">
      <c r="A4" s="64" t="n">
        <v>2</v>
      </c>
      <c r="B4" s="65" t="inlineStr">
        <is>
          <t>Medicine Through Time – Western Front</t>
        </is>
      </c>
      <c r="C4" s="64" t="inlineStr"/>
      <c r="D4" s="64" t="inlineStr"/>
      <c r="E4" s="64" t="inlineStr"/>
    </row>
    <row r="5">
      <c r="A5" s="34" t="n">
        <v>3</v>
      </c>
      <c r="B5" s="35" t="inlineStr">
        <is>
          <t>Early Elizabethan England</t>
        </is>
      </c>
      <c r="C5" s="34" t="inlineStr"/>
      <c r="D5" s="34" t="inlineStr"/>
      <c r="E5" s="34" t="inlineStr"/>
    </row>
    <row r="6">
      <c r="A6" s="64" t="n">
        <v>4</v>
      </c>
      <c r="B6" s="65" t="inlineStr">
        <is>
          <t>Superpower Relations &amp; Cold War</t>
        </is>
      </c>
      <c r="C6" s="64" t="inlineStr"/>
      <c r="D6" s="64" t="inlineStr"/>
      <c r="E6" s="64" t="inlineStr"/>
    </row>
    <row r="7">
      <c r="A7" s="34" t="n">
        <v>5</v>
      </c>
      <c r="B7" s="35" t="inlineStr">
        <is>
          <t>Source/Interpretation skills</t>
        </is>
      </c>
      <c r="C7" s="34" t="inlineStr"/>
      <c r="D7" s="34" t="inlineStr"/>
      <c r="E7" s="34" t="inlineStr"/>
    </row>
    <row r="8">
      <c r="A8" s="64" t="n">
        <v>6</v>
      </c>
      <c r="B8" s="65" t="inlineStr">
        <is>
          <t>Extended writing practice</t>
        </is>
      </c>
      <c r="C8" s="64" t="inlineStr"/>
      <c r="D8" s="64" t="inlineStr"/>
      <c r="E8" s="64" t="inlineStr"/>
    </row>
    <row r="9">
      <c r="A9" s="38" t="n"/>
      <c r="B9" s="38" t="n"/>
      <c r="C9" s="38" t="n"/>
      <c r="D9" s="38" t="n"/>
      <c r="E9" s="38" t="n"/>
    </row>
    <row r="10">
      <c r="A10" s="38" t="n"/>
      <c r="B10" s="38" t="n"/>
      <c r="C10" s="38" t="n"/>
      <c r="D10" s="38" t="n"/>
      <c r="E10" s="38" t="n"/>
    </row>
    <row r="11">
      <c r="A11" s="38" t="n"/>
      <c r="B11" s="38" t="n"/>
      <c r="C11" s="38" t="n"/>
      <c r="D11" s="38" t="n"/>
      <c r="E11" s="38" t="n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</sheetData>
  <mergeCells count="1">
    <mergeCell ref="A1:E1"/>
  </mergeCells>
  <dataValidations count="1">
    <dataValidation sqref="E3:E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66" t="inlineStr">
        <is>
          <t xml:space="preserve">  LATIN — Topic Checklist</t>
        </is>
      </c>
    </row>
    <row r="2" ht="28" customHeight="1">
      <c r="A2" s="67" t="inlineStr">
        <is>
          <t>#</t>
        </is>
      </c>
      <c r="B2" s="67" t="inlineStr">
        <is>
          <t>Topic / Area</t>
        </is>
      </c>
      <c r="C2" s="67" t="inlineStr">
        <is>
          <t>1st Pass ✓</t>
        </is>
      </c>
      <c r="D2" s="67" t="inlineStr">
        <is>
          <t>2nd Pass ✓</t>
        </is>
      </c>
      <c r="E2" s="67" t="inlineStr">
        <is>
          <t>Confidence (1–5)</t>
        </is>
      </c>
    </row>
    <row r="3">
      <c r="A3" s="34" t="n">
        <v>1</v>
      </c>
      <c r="B3" s="35" t="inlineStr">
        <is>
          <t>Vocabulary (list 1–5)</t>
        </is>
      </c>
      <c r="C3" s="34" t="inlineStr"/>
      <c r="D3" s="34" t="inlineStr"/>
      <c r="E3" s="34" t="inlineStr"/>
    </row>
    <row r="4">
      <c r="A4" s="68" t="n">
        <v>2</v>
      </c>
      <c r="B4" s="69" t="inlineStr">
        <is>
          <t>Vocabulary (list 6–10)</t>
        </is>
      </c>
      <c r="C4" s="68" t="inlineStr"/>
      <c r="D4" s="68" t="inlineStr"/>
      <c r="E4" s="68" t="inlineStr"/>
    </row>
    <row r="5">
      <c r="A5" s="34" t="n">
        <v>3</v>
      </c>
      <c r="B5" s="35" t="inlineStr">
        <is>
          <t>Noun declensions</t>
        </is>
      </c>
      <c r="C5" s="34" t="inlineStr"/>
      <c r="D5" s="34" t="inlineStr"/>
      <c r="E5" s="34" t="inlineStr"/>
    </row>
    <row r="6">
      <c r="A6" s="68" t="n">
        <v>4</v>
      </c>
      <c r="B6" s="69" t="inlineStr">
        <is>
          <t>Verb conjugations</t>
        </is>
      </c>
      <c r="C6" s="68" t="inlineStr"/>
      <c r="D6" s="68" t="inlineStr"/>
      <c r="E6" s="68" t="inlineStr"/>
    </row>
    <row r="7">
      <c r="A7" s="34" t="n">
        <v>5</v>
      </c>
      <c r="B7" s="35" t="inlineStr">
        <is>
          <t>Pronouns &amp; adjectives</t>
        </is>
      </c>
      <c r="C7" s="34" t="inlineStr"/>
      <c r="D7" s="34" t="inlineStr"/>
      <c r="E7" s="34" t="inlineStr"/>
    </row>
    <row r="8">
      <c r="A8" s="68" t="n">
        <v>6</v>
      </c>
      <c r="B8" s="69" t="inlineStr">
        <is>
          <t>Translation practice</t>
        </is>
      </c>
      <c r="C8" s="68" t="inlineStr"/>
      <c r="D8" s="68" t="inlineStr"/>
      <c r="E8" s="68" t="inlineStr"/>
    </row>
    <row r="9">
      <c r="A9" s="34" t="n">
        <v>7</v>
      </c>
      <c r="B9" s="35" t="inlineStr">
        <is>
          <t>Prose comprehension</t>
        </is>
      </c>
      <c r="C9" s="34" t="inlineStr"/>
      <c r="D9" s="34" t="inlineStr"/>
      <c r="E9" s="34" t="inlineStr"/>
    </row>
    <row r="10">
      <c r="A10" s="68" t="n">
        <v>8</v>
      </c>
      <c r="B10" s="69" t="inlineStr">
        <is>
          <t>Verse (if applicable)</t>
        </is>
      </c>
      <c r="C10" s="68" t="inlineStr"/>
      <c r="D10" s="68" t="inlineStr"/>
      <c r="E10" s="68" t="inlineStr"/>
    </row>
    <row r="11">
      <c r="A11" s="38" t="n"/>
      <c r="B11" s="38" t="n"/>
      <c r="C11" s="38" t="n"/>
      <c r="D11" s="38" t="n"/>
      <c r="E11" s="38" t="n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</sheetData>
  <mergeCells count="1">
    <mergeCell ref="A1:E1"/>
  </mergeCells>
  <dataValidations count="1">
    <dataValidation sqref="E3:E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6" customWidth="1" min="5" max="5"/>
  </cols>
  <sheetData>
    <row r="1" ht="36" customHeight="1">
      <c r="A1" s="70" t="inlineStr">
        <is>
          <t xml:space="preserve">  FRENCH — Topic Checklist</t>
        </is>
      </c>
    </row>
    <row r="2" ht="28" customHeight="1">
      <c r="A2" s="4" t="inlineStr">
        <is>
          <t>#</t>
        </is>
      </c>
      <c r="B2" s="4" t="inlineStr">
        <is>
          <t>Topic / Area</t>
        </is>
      </c>
      <c r="C2" s="4" t="inlineStr">
        <is>
          <t>1st Pass ✓</t>
        </is>
      </c>
      <c r="D2" s="4" t="inlineStr">
        <is>
          <t>2nd Pass ✓</t>
        </is>
      </c>
      <c r="E2" s="4" t="inlineStr">
        <is>
          <t>Confidence (1–5)</t>
        </is>
      </c>
    </row>
    <row r="3">
      <c r="A3" s="34" t="n">
        <v>1</v>
      </c>
      <c r="B3" s="35" t="inlineStr">
        <is>
          <t>Identity &amp; Culture</t>
        </is>
      </c>
      <c r="C3" s="34" t="inlineStr"/>
      <c r="D3" s="34" t="inlineStr"/>
      <c r="E3" s="34" t="inlineStr"/>
    </row>
    <row r="4">
      <c r="A4" s="71" t="n">
        <v>2</v>
      </c>
      <c r="B4" s="72" t="inlineStr">
        <is>
          <t>Local, National &amp; Global areas</t>
        </is>
      </c>
      <c r="C4" s="71" t="inlineStr"/>
      <c r="D4" s="71" t="inlineStr"/>
      <c r="E4" s="71" t="inlineStr"/>
    </row>
    <row r="5">
      <c r="A5" s="34" t="n">
        <v>3</v>
      </c>
      <c r="B5" s="35" t="inlineStr">
        <is>
          <t>Current &amp; Future Study / Employment</t>
        </is>
      </c>
      <c r="C5" s="34" t="inlineStr"/>
      <c r="D5" s="34" t="inlineStr"/>
      <c r="E5" s="34" t="inlineStr"/>
    </row>
    <row r="6">
      <c r="A6" s="71" t="n">
        <v>4</v>
      </c>
      <c r="B6" s="72" t="inlineStr">
        <is>
          <t>Listening skills</t>
        </is>
      </c>
      <c r="C6" s="71" t="inlineStr"/>
      <c r="D6" s="71" t="inlineStr"/>
      <c r="E6" s="71" t="inlineStr"/>
    </row>
    <row r="7">
      <c r="A7" s="34" t="n">
        <v>5</v>
      </c>
      <c r="B7" s="35" t="inlineStr">
        <is>
          <t>Reading skills</t>
        </is>
      </c>
      <c r="C7" s="34" t="inlineStr"/>
      <c r="D7" s="34" t="inlineStr"/>
      <c r="E7" s="34" t="inlineStr"/>
    </row>
    <row r="8">
      <c r="A8" s="71" t="n">
        <v>6</v>
      </c>
      <c r="B8" s="72" t="inlineStr">
        <is>
          <t>Writing – short tasks</t>
        </is>
      </c>
      <c r="C8" s="71" t="inlineStr"/>
      <c r="D8" s="71" t="inlineStr"/>
      <c r="E8" s="71" t="inlineStr"/>
    </row>
    <row r="9">
      <c r="A9" s="34" t="n">
        <v>7</v>
      </c>
      <c r="B9" s="35" t="inlineStr">
        <is>
          <t>Writing – long tasks</t>
        </is>
      </c>
      <c r="C9" s="34" t="inlineStr"/>
      <c r="D9" s="34" t="inlineStr"/>
      <c r="E9" s="34" t="inlineStr"/>
    </row>
    <row r="10">
      <c r="A10" s="71" t="n">
        <v>8</v>
      </c>
      <c r="B10" s="72" t="inlineStr">
        <is>
          <t>Speaking – conversation</t>
        </is>
      </c>
      <c r="C10" s="71" t="inlineStr"/>
      <c r="D10" s="71" t="inlineStr"/>
      <c r="E10" s="71" t="inlineStr"/>
    </row>
    <row r="11">
      <c r="A11" s="34" t="n">
        <v>9</v>
      </c>
      <c r="B11" s="35" t="inlineStr">
        <is>
          <t>Grammar review</t>
        </is>
      </c>
      <c r="C11" s="34" t="inlineStr"/>
      <c r="D11" s="34" t="inlineStr"/>
      <c r="E11" s="34" t="inlineStr"/>
    </row>
    <row r="12">
      <c r="A12" s="38" t="n"/>
      <c r="B12" s="38" t="n"/>
      <c r="C12" s="38" t="n"/>
      <c r="D12" s="38" t="n"/>
      <c r="E12" s="38" t="n"/>
    </row>
    <row r="13">
      <c r="A13" s="38" t="n"/>
      <c r="B13" s="38" t="n"/>
      <c r="C13" s="38" t="n"/>
      <c r="D13" s="38" t="n"/>
      <c r="E13" s="38" t="n"/>
    </row>
    <row r="14">
      <c r="A14" s="38" t="n"/>
      <c r="B14" s="38" t="n"/>
      <c r="C14" s="38" t="n"/>
      <c r="D14" s="38" t="n"/>
      <c r="E14" s="38" t="n"/>
    </row>
    <row r="15">
      <c r="A15" s="38" t="n"/>
      <c r="B15" s="38" t="n"/>
      <c r="C15" s="38" t="n"/>
      <c r="D15" s="38" t="n"/>
      <c r="E15" s="38" t="n"/>
    </row>
    <row r="16">
      <c r="A16" s="38" t="n"/>
      <c r="B16" s="38" t="n"/>
      <c r="C16" s="38" t="n"/>
      <c r="D16" s="38" t="n"/>
      <c r="E16" s="38" t="n"/>
    </row>
  </sheetData>
  <mergeCells count="1">
    <mergeCell ref="A1:E1"/>
  </mergeCells>
  <dataValidations count="1">
    <dataValidation sqref="E3:E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71C1C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" customWidth="1" min="3" max="3"/>
    <col width="6" customWidth="1" min="4" max="4"/>
  </cols>
  <sheetData>
    <row r="1" ht="50" customHeight="1">
      <c r="A1" s="73" t="inlineStr">
        <is>
          <t>🚀  EXAM COUNTDOWN</t>
        </is>
      </c>
    </row>
    <row r="3">
      <c r="A3" s="74" t="inlineStr">
        <is>
          <t>Milestone</t>
        </is>
      </c>
      <c r="B3" s="74" t="inlineStr">
        <is>
          <t>Date</t>
        </is>
      </c>
      <c r="C3" s="75" t="inlineStr"/>
    </row>
    <row r="4">
      <c r="A4" s="76" t="inlineStr">
        <is>
          <t>Today</t>
        </is>
      </c>
      <c r="B4" s="76" t="inlineStr">
        <is>
          <t>29 Mar 2026</t>
        </is>
      </c>
      <c r="C4" s="77" t="inlineStr">
        <is>
          <t>🗓️</t>
        </is>
      </c>
    </row>
    <row r="5">
      <c r="A5" s="78" t="inlineStr">
        <is>
          <t>Half way</t>
        </is>
      </c>
      <c r="B5" s="78" t="inlineStr">
        <is>
          <t>17 Apr 2026</t>
        </is>
      </c>
      <c r="C5" s="29" t="inlineStr">
        <is>
          <t>⚡</t>
        </is>
      </c>
    </row>
    <row r="6">
      <c r="A6" s="76" t="inlineStr">
        <is>
          <t>2 weeks left</t>
        </is>
      </c>
      <c r="B6" s="76" t="inlineStr">
        <is>
          <t>22 Apr 2026</t>
        </is>
      </c>
      <c r="C6" s="77" t="inlineStr">
        <is>
          <t>🔥</t>
        </is>
      </c>
    </row>
    <row r="7">
      <c r="A7" s="78" t="inlineStr">
        <is>
          <t>1 week left</t>
        </is>
      </c>
      <c r="B7" s="78" t="inlineStr">
        <is>
          <t>29 Apr 2026</t>
        </is>
      </c>
      <c r="C7" s="29" t="inlineStr">
        <is>
          <t>😤</t>
        </is>
      </c>
    </row>
    <row r="8">
      <c r="A8" s="76" t="inlineStr">
        <is>
          <t>EXAM DAY</t>
        </is>
      </c>
      <c r="B8" s="76" t="inlineStr">
        <is>
          <t>6 May 2026</t>
        </is>
      </c>
      <c r="C8" s="77" t="inlineStr">
        <is>
          <t>🎯</t>
        </is>
      </c>
    </row>
    <row r="11">
      <c r="A11" s="79" t="inlineStr">
        <is>
          <t>Daily Motivation 💪</t>
        </is>
      </c>
    </row>
    <row r="12" ht="30" customHeight="1">
      <c r="A12" s="80" t="inlineStr">
        <is>
          <t>"The secret of getting ahead is getting started."</t>
        </is>
      </c>
    </row>
    <row r="13" ht="30" customHeight="1">
      <c r="A13" s="80" t="inlineStr">
        <is>
          <t>"Don't watch the clock; do what it does. Keep going."</t>
        </is>
      </c>
    </row>
    <row r="14" ht="30" customHeight="1">
      <c r="A14" s="80" t="inlineStr">
        <is>
          <t>"You don't have to be great to start, but you have to start to be great."</t>
        </is>
      </c>
    </row>
    <row r="15" ht="30" customHeight="1">
      <c r="A15" s="80" t="inlineStr">
        <is>
          <t>"Success is the sum of small efforts, repeated day in and day out."</t>
        </is>
      </c>
    </row>
    <row r="16" ht="30" customHeight="1">
      <c r="A16" s="80" t="inlineStr">
        <is>
          <t>"Push yourself, because no one else is going to do it for you."</t>
        </is>
      </c>
    </row>
    <row r="17">
      <c r="A17" s="81" t="inlineStr"/>
    </row>
  </sheetData>
  <mergeCells count="6">
    <mergeCell ref="A1:D1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2026-03-29T15:53:27Z</dcterms:created>
  <dcterms:modified xsi:type="dcterms:W3CDTF">2026-03-29T15:53:27Z</dcterms:modified>
</cp:coreProperties>
</file>